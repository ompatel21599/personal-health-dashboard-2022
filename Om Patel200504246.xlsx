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OneDrive\Desktop\"/>
    </mc:Choice>
  </mc:AlternateContent>
  <xr:revisionPtr revIDLastSave="11" documentId="8_{17720107-B9DF-42E5-BE7B-5E918E0AE2EE}" xr6:coauthVersionLast="36" xr6:coauthVersionMax="36" xr10:uidLastSave="{015AC3F6-C7F7-48C0-A252-FFA629ACEFE7}"/>
  <bookViews>
    <workbookView xWindow="0" yWindow="0" windowWidth="23040" windowHeight="9192" xr2:uid="{97DE9BB7-2875-4286-88F5-0A718A056EDD}"/>
  </bookViews>
  <sheets>
    <sheet name="Sheet1" sheetId="1" r:id="rId1"/>
  </sheets>
  <definedNames>
    <definedName name="_xlnm._FilterDatabase" localSheetId="0" hidden="1">Sheet1!$J$1:$J$99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1" i="1" l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90" i="1"/>
  <c r="O80" i="1"/>
  <c r="O81" i="1" s="1"/>
  <c r="O82" i="1" s="1"/>
  <c r="O83" i="1" s="1"/>
  <c r="O84" i="1" s="1"/>
  <c r="O85" i="1" s="1"/>
  <c r="O86" i="1" s="1"/>
  <c r="O87" i="1" s="1"/>
  <c r="O88" i="1" s="1"/>
  <c r="O79" i="1"/>
  <c r="O62" i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54" i="1"/>
  <c r="O55" i="1" s="1"/>
  <c r="O56" i="1" s="1"/>
  <c r="O57" i="1" s="1"/>
  <c r="O58" i="1" s="1"/>
  <c r="O59" i="1" s="1"/>
  <c r="O60" i="1" s="1"/>
  <c r="O40" i="1"/>
  <c r="O41" i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39" i="1"/>
  <c r="O22" i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21" i="1"/>
  <c r="O4" i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3" i="1"/>
  <c r="G210" i="1"/>
  <c r="G211" i="1" s="1"/>
  <c r="G209" i="1"/>
  <c r="G136" i="1"/>
  <c r="G135" i="1"/>
  <c r="G134" i="1"/>
  <c r="G133" i="1"/>
  <c r="G132" i="1"/>
  <c r="G131" i="1"/>
  <c r="G130" i="1"/>
  <c r="G129" i="1"/>
  <c r="G128" i="1"/>
  <c r="G108" i="1"/>
  <c r="G109" i="1" s="1"/>
  <c r="G110" i="1" s="1"/>
  <c r="G68" i="1"/>
  <c r="G69" i="1"/>
  <c r="G70" i="1"/>
  <c r="G71" i="1"/>
  <c r="G72" i="1"/>
  <c r="G73" i="1"/>
  <c r="G74" i="1"/>
  <c r="G75" i="1"/>
  <c r="G67" i="1"/>
  <c r="G53" i="1"/>
  <c r="G54" i="1" s="1"/>
  <c r="G52" i="1"/>
</calcChain>
</file>

<file path=xl/sharedStrings.xml><?xml version="1.0" encoding="utf-8"?>
<sst xmlns="http://schemas.openxmlformats.org/spreadsheetml/2006/main" count="14" uniqueCount="14">
  <si>
    <t>Calories</t>
  </si>
  <si>
    <t>TotalMinutesAsleep</t>
  </si>
  <si>
    <t>WeightKg</t>
  </si>
  <si>
    <t>BMI</t>
  </si>
  <si>
    <t>Protein</t>
  </si>
  <si>
    <t>Vitamin A (% Daily Value)</t>
  </si>
  <si>
    <t>Vitamin C (% Daily Value)</t>
  </si>
  <si>
    <t>Calories from Fat</t>
  </si>
  <si>
    <t>StepTotal</t>
  </si>
  <si>
    <t>ActivityDay</t>
  </si>
  <si>
    <t>Total Sleep</t>
  </si>
  <si>
    <t xml:space="preserve">Iron </t>
  </si>
  <si>
    <t xml:space="preserve">Calcium </t>
  </si>
  <si>
    <t>Water Level Consumption %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</si>
</sst>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375B-37F3-4756-88DC-D67575FC1783}">
  <dimension ref="A1:T414"/>
  <sheetViews>
    <sheetView tabSelected="1" workbookViewId="0">
      <selection activeCell="O2" sqref="O2:O238"/>
    </sheetView>
  </sheetViews>
  <sheetFormatPr defaultRowHeight="14.4" x14ac:dyDescent="0.3"/>
  <cols>
    <col min="1" max="1" width="12.5546875" style="1" customWidth="1"/>
    <col min="4" max="4" width="16.21875" customWidth="1"/>
    <col min="5" max="5" width="9.77734375" customWidth="1"/>
    <col min="14" max="14" width="14.6640625" customWidth="1"/>
  </cols>
  <sheetData>
    <row r="1" spans="1:20" x14ac:dyDescent="0.3">
      <c r="A1" s="1" t="s">
        <v>9</v>
      </c>
      <c r="B1" t="s">
        <v>8</v>
      </c>
      <c r="C1" t="s">
        <v>0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12</v>
      </c>
      <c r="L1" t="s">
        <v>11</v>
      </c>
      <c r="N1" t="s">
        <v>7</v>
      </c>
      <c r="O1" t="s">
        <v>13</v>
      </c>
    </row>
    <row r="2" spans="1:20" x14ac:dyDescent="0.3">
      <c r="A2" s="1">
        <v>44899</v>
      </c>
      <c r="B2">
        <v>13162</v>
      </c>
      <c r="C2">
        <v>1985</v>
      </c>
      <c r="D2" s="2">
        <v>5.274193548387097</v>
      </c>
      <c r="E2">
        <v>304</v>
      </c>
      <c r="F2">
        <v>72.400001525878906</v>
      </c>
      <c r="G2">
        <v>27.450000762939499</v>
      </c>
      <c r="H2">
        <v>95</v>
      </c>
      <c r="I2">
        <v>10</v>
      </c>
      <c r="J2">
        <v>0</v>
      </c>
      <c r="K2">
        <v>25</v>
      </c>
      <c r="L2">
        <v>15</v>
      </c>
      <c r="N2">
        <v>120</v>
      </c>
      <c r="O2" s="4">
        <v>75</v>
      </c>
      <c r="Q2" s="2"/>
      <c r="S2" s="2"/>
      <c r="T2" s="2"/>
    </row>
    <row r="3" spans="1:20" x14ac:dyDescent="0.3">
      <c r="A3" s="1">
        <v>44900</v>
      </c>
      <c r="B3">
        <v>10735</v>
      </c>
      <c r="C3">
        <v>1797</v>
      </c>
      <c r="D3" s="2">
        <v>6.193548387096774</v>
      </c>
      <c r="E3">
        <v>360</v>
      </c>
      <c r="F3">
        <v>72.300003051757798</v>
      </c>
      <c r="G3">
        <v>27.379999160766602</v>
      </c>
      <c r="H3">
        <v>94</v>
      </c>
      <c r="I3">
        <v>6</v>
      </c>
      <c r="J3">
        <v>0</v>
      </c>
      <c r="K3">
        <v>25</v>
      </c>
      <c r="L3">
        <v>8</v>
      </c>
      <c r="N3">
        <v>70</v>
      </c>
      <c r="O3" s="4">
        <f>(O2+1)</f>
        <v>76</v>
      </c>
      <c r="Q3" s="2"/>
      <c r="S3" s="2"/>
      <c r="T3" s="2"/>
    </row>
    <row r="4" spans="1:20" x14ac:dyDescent="0.3">
      <c r="A4" s="1">
        <v>44901</v>
      </c>
      <c r="B4">
        <v>10460</v>
      </c>
      <c r="C4">
        <v>1776</v>
      </c>
      <c r="D4" s="2">
        <v>6.645161290322581</v>
      </c>
      <c r="E4">
        <v>325</v>
      </c>
      <c r="F4">
        <v>69.699996948242202</v>
      </c>
      <c r="G4">
        <v>27.25</v>
      </c>
      <c r="H4" s="3">
        <v>93</v>
      </c>
      <c r="I4">
        <v>8</v>
      </c>
      <c r="J4">
        <v>0</v>
      </c>
      <c r="K4">
        <v>25</v>
      </c>
      <c r="L4">
        <v>10</v>
      </c>
      <c r="N4">
        <v>200</v>
      </c>
      <c r="O4" s="4">
        <f t="shared" ref="O4:O19" si="0">(O3+1)</f>
        <v>77</v>
      </c>
      <c r="Q4" s="2"/>
      <c r="S4" s="2"/>
      <c r="T4" s="2"/>
    </row>
    <row r="5" spans="1:20" x14ac:dyDescent="0.3">
      <c r="A5" s="1">
        <v>44902</v>
      </c>
      <c r="B5">
        <v>9762</v>
      </c>
      <c r="C5">
        <v>1745</v>
      </c>
      <c r="D5" s="2">
        <v>5.4838709677419351</v>
      </c>
      <c r="E5">
        <v>361</v>
      </c>
      <c r="F5">
        <v>70.300003051757798</v>
      </c>
      <c r="G5">
        <v>27.459999084472699</v>
      </c>
      <c r="H5" s="3">
        <v>92</v>
      </c>
      <c r="I5">
        <v>15</v>
      </c>
      <c r="J5">
        <v>0</v>
      </c>
      <c r="K5">
        <v>30</v>
      </c>
      <c r="L5">
        <v>15</v>
      </c>
      <c r="N5">
        <v>250</v>
      </c>
      <c r="O5" s="4">
        <f t="shared" si="0"/>
        <v>78</v>
      </c>
      <c r="Q5" s="2"/>
      <c r="S5" s="2"/>
      <c r="T5" s="2"/>
    </row>
    <row r="6" spans="1:20" x14ac:dyDescent="0.3">
      <c r="A6" s="1">
        <v>44903</v>
      </c>
      <c r="B6">
        <v>12669</v>
      </c>
      <c r="C6">
        <v>1863</v>
      </c>
      <c r="D6" s="2">
        <v>5</v>
      </c>
      <c r="E6">
        <v>430</v>
      </c>
      <c r="F6">
        <v>69.900001525878906</v>
      </c>
      <c r="G6">
        <v>27.319999694824201</v>
      </c>
      <c r="H6" s="3">
        <v>94</v>
      </c>
      <c r="I6">
        <v>6</v>
      </c>
      <c r="J6">
        <v>0</v>
      </c>
      <c r="K6">
        <v>25</v>
      </c>
      <c r="L6">
        <v>10</v>
      </c>
      <c r="N6">
        <v>210</v>
      </c>
      <c r="O6" s="4">
        <f t="shared" si="0"/>
        <v>79</v>
      </c>
      <c r="Q6" s="2"/>
      <c r="S6" s="2"/>
      <c r="T6" s="2"/>
    </row>
    <row r="7" spans="1:20" x14ac:dyDescent="0.3">
      <c r="A7" s="1">
        <v>44904</v>
      </c>
      <c r="B7">
        <v>9705</v>
      </c>
      <c r="C7">
        <v>1728</v>
      </c>
      <c r="D7" s="2">
        <v>4.903225806451613</v>
      </c>
      <c r="E7">
        <v>277</v>
      </c>
      <c r="F7">
        <v>61.5</v>
      </c>
      <c r="G7">
        <v>24</v>
      </c>
      <c r="H7" s="3">
        <v>93</v>
      </c>
      <c r="I7">
        <v>15</v>
      </c>
      <c r="J7">
        <v>2</v>
      </c>
      <c r="K7">
        <v>30</v>
      </c>
      <c r="L7">
        <v>20</v>
      </c>
      <c r="N7">
        <v>210</v>
      </c>
      <c r="O7" s="4">
        <f t="shared" si="0"/>
        <v>80</v>
      </c>
      <c r="Q7" s="2"/>
      <c r="S7" s="2"/>
      <c r="T7" s="2"/>
    </row>
    <row r="8" spans="1:20" x14ac:dyDescent="0.3">
      <c r="A8" s="1">
        <v>44905</v>
      </c>
      <c r="B8">
        <v>13019</v>
      </c>
      <c r="C8">
        <v>1921</v>
      </c>
      <c r="D8" s="2">
        <v>5.806451612903226</v>
      </c>
      <c r="E8">
        <v>273</v>
      </c>
      <c r="F8">
        <v>62</v>
      </c>
      <c r="G8">
        <v>24.209999084472699</v>
      </c>
      <c r="H8" s="3">
        <v>93</v>
      </c>
      <c r="I8">
        <v>10</v>
      </c>
      <c r="J8">
        <v>8</v>
      </c>
      <c r="K8">
        <v>15</v>
      </c>
      <c r="L8">
        <v>15</v>
      </c>
      <c r="N8">
        <v>230</v>
      </c>
      <c r="O8" s="4">
        <f t="shared" si="0"/>
        <v>81</v>
      </c>
      <c r="Q8" s="2"/>
      <c r="S8" s="2"/>
      <c r="T8" s="2"/>
    </row>
    <row r="9" spans="1:20" x14ac:dyDescent="0.3">
      <c r="A9" s="1">
        <v>44906</v>
      </c>
      <c r="B9">
        <v>15506</v>
      </c>
      <c r="C9">
        <v>2035</v>
      </c>
      <c r="D9" s="2">
        <v>5.241935483870968</v>
      </c>
      <c r="E9">
        <v>247</v>
      </c>
      <c r="F9">
        <v>61.400001525878899</v>
      </c>
      <c r="G9">
        <v>23.959999084472699</v>
      </c>
      <c r="H9" s="3">
        <v>94</v>
      </c>
      <c r="I9">
        <v>15</v>
      </c>
      <c r="J9">
        <v>8</v>
      </c>
      <c r="K9">
        <v>20</v>
      </c>
      <c r="L9">
        <v>20</v>
      </c>
      <c r="N9">
        <v>270</v>
      </c>
      <c r="O9" s="4">
        <f t="shared" si="0"/>
        <v>82</v>
      </c>
      <c r="Q9" s="2"/>
      <c r="S9" s="2"/>
      <c r="T9" s="2"/>
    </row>
    <row r="10" spans="1:20" x14ac:dyDescent="0.3">
      <c r="A10" s="1">
        <v>44907</v>
      </c>
      <c r="B10">
        <v>10544</v>
      </c>
      <c r="C10">
        <v>1786</v>
      </c>
      <c r="D10" s="2">
        <v>5.82258064516129</v>
      </c>
      <c r="E10">
        <v>334</v>
      </c>
      <c r="F10">
        <v>61.200000762939503</v>
      </c>
      <c r="G10">
        <v>23.889999389648398</v>
      </c>
      <c r="H10" s="3">
        <v>93</v>
      </c>
      <c r="I10">
        <v>2</v>
      </c>
      <c r="J10">
        <v>8</v>
      </c>
      <c r="K10">
        <v>15</v>
      </c>
      <c r="L10">
        <v>10</v>
      </c>
      <c r="N10">
        <v>180</v>
      </c>
      <c r="O10" s="4">
        <f t="shared" si="0"/>
        <v>83</v>
      </c>
      <c r="Q10" s="2"/>
      <c r="S10" s="2"/>
      <c r="T10" s="2"/>
    </row>
    <row r="11" spans="1:20" x14ac:dyDescent="0.3">
      <c r="A11" s="1">
        <v>44908</v>
      </c>
      <c r="B11">
        <v>9819</v>
      </c>
      <c r="C11">
        <v>1775</v>
      </c>
      <c r="D11" s="2">
        <v>6.935483870967742</v>
      </c>
      <c r="E11">
        <v>331</v>
      </c>
      <c r="F11">
        <v>61.400001525878899</v>
      </c>
      <c r="G11">
        <v>23.959999084472699</v>
      </c>
      <c r="H11" s="3">
        <v>93</v>
      </c>
      <c r="I11">
        <v>6</v>
      </c>
      <c r="J11">
        <v>8</v>
      </c>
      <c r="K11">
        <v>15</v>
      </c>
      <c r="L11">
        <v>15</v>
      </c>
      <c r="N11">
        <v>220</v>
      </c>
      <c r="O11" s="4">
        <f t="shared" si="0"/>
        <v>84</v>
      </c>
      <c r="Q11" s="2"/>
      <c r="S11" s="2"/>
      <c r="T11" s="2"/>
    </row>
    <row r="12" spans="1:20" x14ac:dyDescent="0.3">
      <c r="A12" s="1">
        <v>44909</v>
      </c>
      <c r="B12">
        <v>12764</v>
      </c>
      <c r="C12">
        <v>1827</v>
      </c>
      <c r="D12" s="2">
        <v>4.467741935483871</v>
      </c>
      <c r="E12">
        <v>285</v>
      </c>
      <c r="F12">
        <v>61.5</v>
      </c>
      <c r="G12">
        <v>24</v>
      </c>
      <c r="H12" s="3">
        <v>89</v>
      </c>
      <c r="I12">
        <v>0</v>
      </c>
      <c r="J12">
        <v>0</v>
      </c>
      <c r="K12">
        <v>6</v>
      </c>
      <c r="L12">
        <v>15</v>
      </c>
      <c r="N12">
        <v>240</v>
      </c>
      <c r="O12" s="4">
        <f t="shared" si="0"/>
        <v>85</v>
      </c>
      <c r="Q12" s="2"/>
      <c r="S12" s="2"/>
      <c r="T12" s="2"/>
    </row>
    <row r="13" spans="1:20" x14ac:dyDescent="0.3">
      <c r="A13" s="1">
        <v>44910</v>
      </c>
      <c r="B13">
        <v>14371</v>
      </c>
      <c r="C13">
        <v>1949</v>
      </c>
      <c r="D13" s="2">
        <v>3.9516129032258065</v>
      </c>
      <c r="E13">
        <v>119</v>
      </c>
      <c r="F13">
        <v>61.5</v>
      </c>
      <c r="G13">
        <v>24</v>
      </c>
      <c r="H13" s="3">
        <v>89</v>
      </c>
      <c r="I13">
        <v>4</v>
      </c>
      <c r="J13">
        <v>0</v>
      </c>
      <c r="K13">
        <v>8</v>
      </c>
      <c r="L13">
        <v>15</v>
      </c>
      <c r="N13">
        <v>280</v>
      </c>
      <c r="O13" s="4">
        <f t="shared" si="0"/>
        <v>86</v>
      </c>
      <c r="Q13" s="2"/>
      <c r="S13" s="2"/>
      <c r="T13" s="2"/>
    </row>
    <row r="14" spans="1:20" x14ac:dyDescent="0.3">
      <c r="A14" s="1">
        <v>44911</v>
      </c>
      <c r="B14">
        <v>10039</v>
      </c>
      <c r="C14">
        <v>1788</v>
      </c>
      <c r="D14" s="2">
        <v>5.903225806451613</v>
      </c>
      <c r="E14">
        <v>124</v>
      </c>
      <c r="F14">
        <v>61.700000762939503</v>
      </c>
      <c r="G14">
        <v>24.100000381469702</v>
      </c>
      <c r="H14" s="3">
        <v>86</v>
      </c>
      <c r="I14">
        <v>6</v>
      </c>
      <c r="J14">
        <v>0</v>
      </c>
      <c r="K14">
        <v>10</v>
      </c>
      <c r="L14">
        <v>20</v>
      </c>
      <c r="N14">
        <v>290</v>
      </c>
      <c r="O14" s="4">
        <f t="shared" si="0"/>
        <v>87</v>
      </c>
      <c r="Q14" s="2"/>
      <c r="S14" s="2"/>
      <c r="T14" s="2"/>
    </row>
    <row r="15" spans="1:20" x14ac:dyDescent="0.3">
      <c r="A15" s="1">
        <v>44912</v>
      </c>
      <c r="B15">
        <v>15355</v>
      </c>
      <c r="C15">
        <v>2013</v>
      </c>
      <c r="D15" s="2">
        <v>5.5</v>
      </c>
      <c r="E15">
        <v>796</v>
      </c>
      <c r="F15">
        <v>61.200000762939503</v>
      </c>
      <c r="G15">
        <v>23.889999389648398</v>
      </c>
      <c r="H15" s="3">
        <v>90</v>
      </c>
      <c r="I15">
        <v>10</v>
      </c>
      <c r="J15">
        <v>0</v>
      </c>
      <c r="K15">
        <v>10</v>
      </c>
      <c r="L15">
        <v>20</v>
      </c>
      <c r="N15">
        <v>330</v>
      </c>
      <c r="O15" s="4">
        <f t="shared" si="0"/>
        <v>88</v>
      </c>
      <c r="Q15" s="2"/>
      <c r="S15" s="2"/>
      <c r="T15" s="2"/>
    </row>
    <row r="16" spans="1:20" x14ac:dyDescent="0.3">
      <c r="A16" s="1">
        <v>44913</v>
      </c>
      <c r="B16">
        <v>13755</v>
      </c>
      <c r="C16">
        <v>1970</v>
      </c>
      <c r="D16" s="2">
        <v>6.5161290322580649</v>
      </c>
      <c r="E16">
        <v>137</v>
      </c>
      <c r="F16">
        <v>61.200000762939503</v>
      </c>
      <c r="G16">
        <v>23.889999389648398</v>
      </c>
      <c r="H16" s="3">
        <v>89</v>
      </c>
      <c r="I16">
        <v>0</v>
      </c>
      <c r="J16">
        <v>0</v>
      </c>
      <c r="K16">
        <v>8</v>
      </c>
      <c r="L16">
        <v>15</v>
      </c>
      <c r="N16">
        <v>250</v>
      </c>
      <c r="O16" s="4">
        <f t="shared" si="0"/>
        <v>89</v>
      </c>
      <c r="Q16" s="2"/>
      <c r="S16" s="2"/>
      <c r="T16" s="2"/>
    </row>
    <row r="17" spans="1:20" x14ac:dyDescent="0.3">
      <c r="A17" s="1">
        <v>44914</v>
      </c>
      <c r="B17">
        <v>18134</v>
      </c>
      <c r="C17">
        <v>2159</v>
      </c>
      <c r="D17" s="2">
        <v>5.9516129032258061</v>
      </c>
      <c r="E17">
        <v>644</v>
      </c>
      <c r="F17">
        <v>61.400001525878899</v>
      </c>
      <c r="G17">
        <v>23.959999084472699</v>
      </c>
      <c r="H17" s="3">
        <v>89</v>
      </c>
      <c r="I17">
        <v>4</v>
      </c>
      <c r="J17">
        <v>0</v>
      </c>
      <c r="K17">
        <v>8</v>
      </c>
      <c r="L17">
        <v>15</v>
      </c>
      <c r="N17">
        <v>280</v>
      </c>
      <c r="O17" s="4">
        <f t="shared" si="0"/>
        <v>90</v>
      </c>
      <c r="Q17" s="2"/>
      <c r="S17" s="2"/>
      <c r="T17" s="2"/>
    </row>
    <row r="18" spans="1:20" x14ac:dyDescent="0.3">
      <c r="A18" s="1">
        <v>44915</v>
      </c>
      <c r="B18">
        <v>13154</v>
      </c>
      <c r="C18">
        <v>1898</v>
      </c>
      <c r="D18" s="2">
        <v>4.467741935483871</v>
      </c>
      <c r="E18">
        <v>722</v>
      </c>
      <c r="F18">
        <v>61</v>
      </c>
      <c r="G18">
        <v>23.819999694824201</v>
      </c>
      <c r="H18" s="3">
        <v>91</v>
      </c>
      <c r="I18">
        <v>0</v>
      </c>
      <c r="J18">
        <v>2</v>
      </c>
      <c r="K18">
        <v>6</v>
      </c>
      <c r="L18">
        <v>15</v>
      </c>
      <c r="N18">
        <v>180</v>
      </c>
      <c r="O18" s="4">
        <f t="shared" si="0"/>
        <v>91</v>
      </c>
      <c r="Q18" s="2"/>
      <c r="S18" s="2"/>
      <c r="T18" s="2"/>
    </row>
    <row r="19" spans="1:20" x14ac:dyDescent="0.3">
      <c r="A19" s="1">
        <v>44916</v>
      </c>
      <c r="B19">
        <v>11181</v>
      </c>
      <c r="C19">
        <v>1837</v>
      </c>
      <c r="D19" s="2">
        <v>4.403225806451613</v>
      </c>
      <c r="E19">
        <v>590</v>
      </c>
      <c r="F19">
        <v>61.700000762939503</v>
      </c>
      <c r="G19">
        <v>24.100000381469702</v>
      </c>
      <c r="H19" s="3">
        <v>92</v>
      </c>
      <c r="I19">
        <v>4</v>
      </c>
      <c r="J19">
        <v>2</v>
      </c>
      <c r="K19">
        <v>8</v>
      </c>
      <c r="L19">
        <v>15</v>
      </c>
      <c r="N19">
        <v>220</v>
      </c>
      <c r="O19" s="4">
        <f t="shared" si="0"/>
        <v>92</v>
      </c>
      <c r="Q19" s="2"/>
      <c r="S19" s="2"/>
      <c r="T19" s="2"/>
    </row>
    <row r="20" spans="1:20" x14ac:dyDescent="0.3">
      <c r="A20" s="1">
        <v>44917</v>
      </c>
      <c r="B20">
        <v>14673</v>
      </c>
      <c r="C20">
        <v>1947</v>
      </c>
      <c r="D20" s="2">
        <v>3.9838709677419355</v>
      </c>
      <c r="E20">
        <v>750</v>
      </c>
      <c r="F20">
        <v>61.5</v>
      </c>
      <c r="G20">
        <v>24</v>
      </c>
      <c r="H20" s="3">
        <v>94</v>
      </c>
      <c r="I20">
        <v>10</v>
      </c>
      <c r="J20">
        <v>2</v>
      </c>
      <c r="K20">
        <v>20</v>
      </c>
      <c r="L20">
        <v>25</v>
      </c>
      <c r="N20">
        <v>290</v>
      </c>
      <c r="O20" s="4">
        <v>70</v>
      </c>
      <c r="Q20" s="2"/>
      <c r="S20" s="2"/>
      <c r="T20" s="2"/>
    </row>
    <row r="21" spans="1:20" x14ac:dyDescent="0.3">
      <c r="A21" s="1">
        <v>44918</v>
      </c>
      <c r="B21">
        <v>10602</v>
      </c>
      <c r="C21">
        <v>1820</v>
      </c>
      <c r="D21" s="2">
        <v>5.387096774193548</v>
      </c>
      <c r="E21">
        <v>398</v>
      </c>
      <c r="F21">
        <v>61</v>
      </c>
      <c r="G21">
        <v>23.819999694824201</v>
      </c>
      <c r="H21" s="3">
        <v>98</v>
      </c>
      <c r="I21">
        <v>10</v>
      </c>
      <c r="J21">
        <v>10</v>
      </c>
      <c r="K21">
        <v>20</v>
      </c>
      <c r="L21">
        <v>15</v>
      </c>
      <c r="N21">
        <v>190</v>
      </c>
      <c r="O21" s="4">
        <f>(O20+1)</f>
        <v>71</v>
      </c>
      <c r="Q21" s="2"/>
      <c r="S21" s="2"/>
      <c r="T21" s="2"/>
    </row>
    <row r="22" spans="1:20" x14ac:dyDescent="0.3">
      <c r="A22" s="1">
        <v>44919</v>
      </c>
      <c r="B22">
        <v>14727</v>
      </c>
      <c r="C22">
        <v>2004</v>
      </c>
      <c r="D22" s="2">
        <v>5.338709677419355</v>
      </c>
      <c r="E22">
        <v>475</v>
      </c>
      <c r="F22">
        <v>61.099998474121101</v>
      </c>
      <c r="G22">
        <v>23.850000381469702</v>
      </c>
      <c r="H22" s="3">
        <v>102</v>
      </c>
      <c r="I22">
        <v>2</v>
      </c>
      <c r="J22">
        <v>10</v>
      </c>
      <c r="K22">
        <v>15</v>
      </c>
      <c r="L22">
        <v>10</v>
      </c>
      <c r="N22">
        <v>140</v>
      </c>
      <c r="O22" s="4">
        <f t="shared" ref="O22:O85" si="1">(O21+1)</f>
        <v>72</v>
      </c>
      <c r="Q22" s="2"/>
      <c r="S22" s="2"/>
      <c r="T22" s="2"/>
    </row>
    <row r="23" spans="1:20" x14ac:dyDescent="0.3">
      <c r="A23" s="1">
        <v>44920</v>
      </c>
      <c r="B23">
        <v>15103</v>
      </c>
      <c r="C23">
        <v>1990</v>
      </c>
      <c r="D23" s="2">
        <v>9</v>
      </c>
      <c r="E23">
        <v>503</v>
      </c>
      <c r="F23">
        <v>61.200000762939503</v>
      </c>
      <c r="G23">
        <v>23.889999389648398</v>
      </c>
      <c r="H23" s="3">
        <v>103</v>
      </c>
      <c r="I23">
        <v>0</v>
      </c>
      <c r="J23">
        <v>0</v>
      </c>
      <c r="K23">
        <v>8</v>
      </c>
      <c r="L23">
        <v>10</v>
      </c>
      <c r="N23">
        <v>200</v>
      </c>
      <c r="O23" s="4">
        <f t="shared" si="1"/>
        <v>73</v>
      </c>
      <c r="Q23" s="2"/>
      <c r="S23" s="2"/>
      <c r="T23" s="2"/>
    </row>
    <row r="24" spans="1:20" x14ac:dyDescent="0.3">
      <c r="A24" s="1">
        <v>44921</v>
      </c>
      <c r="B24">
        <v>11100</v>
      </c>
      <c r="C24">
        <v>1819</v>
      </c>
      <c r="D24" s="2">
        <v>5.4516129032258061</v>
      </c>
      <c r="E24">
        <v>531</v>
      </c>
      <c r="F24">
        <v>61.200000762939503</v>
      </c>
      <c r="G24">
        <v>23.889999389648398</v>
      </c>
      <c r="H24" s="3">
        <v>98</v>
      </c>
      <c r="I24">
        <v>10</v>
      </c>
      <c r="J24">
        <v>0</v>
      </c>
      <c r="K24">
        <v>20</v>
      </c>
      <c r="L24">
        <v>15</v>
      </c>
      <c r="N24">
        <v>280</v>
      </c>
      <c r="O24" s="4">
        <f t="shared" si="1"/>
        <v>74</v>
      </c>
      <c r="Q24" s="2"/>
      <c r="S24" s="2"/>
      <c r="T24" s="2"/>
    </row>
    <row r="25" spans="1:20" x14ac:dyDescent="0.3">
      <c r="A25" s="1">
        <v>44922</v>
      </c>
      <c r="B25">
        <v>14070</v>
      </c>
      <c r="C25">
        <v>1959</v>
      </c>
      <c r="D25" s="2">
        <v>6.17741935483871</v>
      </c>
      <c r="E25">
        <v>523</v>
      </c>
      <c r="F25">
        <v>62.099998474121101</v>
      </c>
      <c r="G25">
        <v>24.2399997711182</v>
      </c>
      <c r="H25" s="3">
        <v>94</v>
      </c>
      <c r="I25">
        <v>2</v>
      </c>
      <c r="J25">
        <v>0</v>
      </c>
      <c r="K25">
        <v>20</v>
      </c>
      <c r="L25">
        <v>10</v>
      </c>
      <c r="N25">
        <v>230</v>
      </c>
      <c r="O25" s="4">
        <f t="shared" si="1"/>
        <v>75</v>
      </c>
      <c r="Q25" s="2"/>
      <c r="S25" s="2"/>
      <c r="T25" s="2"/>
    </row>
    <row r="26" spans="1:20" x14ac:dyDescent="0.3">
      <c r="A26" s="1">
        <v>44923</v>
      </c>
      <c r="B26">
        <v>12159</v>
      </c>
      <c r="C26">
        <v>1896</v>
      </c>
      <c r="D26" s="2">
        <v>4.596774193548387</v>
      </c>
      <c r="E26">
        <v>524</v>
      </c>
      <c r="F26">
        <v>61.900001525878899</v>
      </c>
      <c r="G26">
        <v>24.170000076293899</v>
      </c>
      <c r="H26" s="3">
        <v>94</v>
      </c>
      <c r="I26">
        <v>20</v>
      </c>
      <c r="J26">
        <v>15</v>
      </c>
      <c r="K26">
        <v>20</v>
      </c>
      <c r="L26">
        <v>20</v>
      </c>
      <c r="N26">
        <v>280</v>
      </c>
      <c r="O26" s="4">
        <f t="shared" si="1"/>
        <v>76</v>
      </c>
      <c r="Q26" s="2"/>
      <c r="S26" s="2"/>
      <c r="T26" s="2"/>
    </row>
    <row r="27" spans="1:20" x14ac:dyDescent="0.3">
      <c r="A27" s="1">
        <v>44924</v>
      </c>
      <c r="B27">
        <v>11992</v>
      </c>
      <c r="C27">
        <v>1821</v>
      </c>
      <c r="D27" s="2">
        <v>1.9193548387096775</v>
      </c>
      <c r="E27">
        <v>437</v>
      </c>
      <c r="F27">
        <v>61.900001525878899</v>
      </c>
      <c r="G27">
        <v>24.170000076293899</v>
      </c>
      <c r="H27" s="3">
        <v>93</v>
      </c>
      <c r="I27">
        <v>10</v>
      </c>
      <c r="J27">
        <v>15</v>
      </c>
      <c r="K27">
        <v>20</v>
      </c>
      <c r="L27">
        <v>15</v>
      </c>
      <c r="N27">
        <v>230</v>
      </c>
      <c r="O27" s="4">
        <f t="shared" si="1"/>
        <v>77</v>
      </c>
      <c r="Q27" s="2"/>
      <c r="S27" s="2"/>
      <c r="T27" s="2"/>
    </row>
    <row r="28" spans="1:20" x14ac:dyDescent="0.3">
      <c r="A28" s="1">
        <v>44925</v>
      </c>
      <c r="B28">
        <v>10060</v>
      </c>
      <c r="C28">
        <v>1740</v>
      </c>
      <c r="D28" s="2">
        <v>2</v>
      </c>
      <c r="E28">
        <v>498</v>
      </c>
      <c r="F28">
        <v>85.800003051757798</v>
      </c>
      <c r="G28">
        <v>25.680000305175799</v>
      </c>
      <c r="H28" s="3">
        <v>94</v>
      </c>
      <c r="I28">
        <v>20</v>
      </c>
      <c r="J28">
        <v>4</v>
      </c>
      <c r="K28">
        <v>25</v>
      </c>
      <c r="L28">
        <v>25</v>
      </c>
      <c r="N28">
        <v>310</v>
      </c>
      <c r="O28" s="4">
        <f t="shared" si="1"/>
        <v>78</v>
      </c>
      <c r="Q28" s="2"/>
      <c r="S28" s="2"/>
      <c r="T28" s="2"/>
    </row>
    <row r="29" spans="1:20" x14ac:dyDescent="0.3">
      <c r="A29" s="1">
        <v>44926</v>
      </c>
      <c r="B29">
        <v>12022</v>
      </c>
      <c r="C29">
        <v>1819</v>
      </c>
      <c r="D29" s="2">
        <v>5</v>
      </c>
      <c r="E29">
        <v>461</v>
      </c>
      <c r="F29">
        <v>84.900001525878906</v>
      </c>
      <c r="G29">
        <v>25.409999847412099</v>
      </c>
      <c r="H29" s="3">
        <v>94</v>
      </c>
      <c r="I29">
        <v>15</v>
      </c>
      <c r="J29">
        <v>2</v>
      </c>
      <c r="K29">
        <v>15</v>
      </c>
      <c r="L29">
        <v>25</v>
      </c>
      <c r="N29">
        <v>430</v>
      </c>
      <c r="O29" s="4">
        <f t="shared" si="1"/>
        <v>79</v>
      </c>
      <c r="Q29" s="2"/>
      <c r="S29" s="2"/>
      <c r="T29" s="2"/>
    </row>
    <row r="30" spans="1:20" x14ac:dyDescent="0.3">
      <c r="A30" s="1">
        <v>44562</v>
      </c>
      <c r="B30">
        <v>12207</v>
      </c>
      <c r="C30">
        <v>1859</v>
      </c>
      <c r="D30" s="2">
        <v>2.2096774193548385</v>
      </c>
      <c r="E30">
        <v>477</v>
      </c>
      <c r="F30">
        <v>84.5</v>
      </c>
      <c r="G30">
        <v>25.309999465942401</v>
      </c>
      <c r="H30" s="3">
        <v>93</v>
      </c>
      <c r="I30">
        <v>15</v>
      </c>
      <c r="J30">
        <v>2</v>
      </c>
      <c r="K30">
        <v>15</v>
      </c>
      <c r="L30">
        <v>30</v>
      </c>
      <c r="N30">
        <v>470</v>
      </c>
      <c r="O30" s="4">
        <f t="shared" si="1"/>
        <v>80</v>
      </c>
      <c r="Q30" s="2"/>
      <c r="S30" s="2"/>
      <c r="T30" s="2"/>
    </row>
    <row r="31" spans="1:20" x14ac:dyDescent="0.3">
      <c r="A31" s="1">
        <v>44563</v>
      </c>
      <c r="B31">
        <v>12770</v>
      </c>
      <c r="C31">
        <v>1783</v>
      </c>
      <c r="D31" s="2">
        <v>7</v>
      </c>
      <c r="E31">
        <v>520</v>
      </c>
      <c r="F31">
        <v>85.5</v>
      </c>
      <c r="G31">
        <v>25.590000152587901</v>
      </c>
      <c r="H31" s="3">
        <v>93</v>
      </c>
      <c r="I31">
        <v>0</v>
      </c>
      <c r="J31">
        <v>2</v>
      </c>
      <c r="K31">
        <v>10</v>
      </c>
      <c r="L31">
        <v>15</v>
      </c>
      <c r="N31">
        <v>330</v>
      </c>
      <c r="O31" s="4">
        <f t="shared" si="1"/>
        <v>81</v>
      </c>
      <c r="Q31" s="2"/>
      <c r="S31" s="2"/>
      <c r="T31" s="2"/>
    </row>
    <row r="32" spans="1:20" x14ac:dyDescent="0.3">
      <c r="A32" s="1">
        <v>44564</v>
      </c>
      <c r="B32">
        <v>0</v>
      </c>
      <c r="C32">
        <v>0</v>
      </c>
      <c r="D32" s="2">
        <v>4</v>
      </c>
      <c r="E32">
        <v>522</v>
      </c>
      <c r="F32">
        <v>85.800003051757798</v>
      </c>
      <c r="G32">
        <v>25.680000305175799</v>
      </c>
      <c r="H32" s="3">
        <v>95</v>
      </c>
      <c r="I32">
        <v>4</v>
      </c>
      <c r="J32">
        <v>2</v>
      </c>
      <c r="K32">
        <v>10</v>
      </c>
      <c r="L32">
        <v>15</v>
      </c>
      <c r="N32">
        <v>370</v>
      </c>
      <c r="O32" s="4">
        <f t="shared" si="1"/>
        <v>82</v>
      </c>
      <c r="Q32" s="2"/>
      <c r="S32" s="2"/>
      <c r="T32" s="2"/>
    </row>
    <row r="33" spans="1:20" x14ac:dyDescent="0.3">
      <c r="A33" s="1">
        <v>44565</v>
      </c>
      <c r="B33">
        <v>8163</v>
      </c>
      <c r="C33">
        <v>1432</v>
      </c>
      <c r="D33" s="2">
        <v>5</v>
      </c>
      <c r="E33">
        <v>555</v>
      </c>
      <c r="F33">
        <v>85.300003051757798</v>
      </c>
      <c r="G33">
        <v>25.530000686645501</v>
      </c>
      <c r="H33" s="3">
        <v>93</v>
      </c>
      <c r="I33">
        <v>15</v>
      </c>
      <c r="J33">
        <v>2</v>
      </c>
      <c r="K33">
        <v>25</v>
      </c>
      <c r="L33">
        <v>40</v>
      </c>
      <c r="N33">
        <v>510</v>
      </c>
      <c r="O33" s="4">
        <f t="shared" si="1"/>
        <v>83</v>
      </c>
      <c r="Q33" s="2"/>
      <c r="S33" s="2"/>
      <c r="T33" s="2"/>
    </row>
    <row r="34" spans="1:20" x14ac:dyDescent="0.3">
      <c r="A34" s="1">
        <v>44566</v>
      </c>
      <c r="B34">
        <v>7007</v>
      </c>
      <c r="C34">
        <v>1411</v>
      </c>
      <c r="D34" s="2">
        <v>3</v>
      </c>
      <c r="E34">
        <v>506</v>
      </c>
      <c r="F34">
        <v>84.900001525878906</v>
      </c>
      <c r="G34">
        <v>25.409999847412099</v>
      </c>
      <c r="H34" s="3">
        <v>92</v>
      </c>
      <c r="I34">
        <v>15</v>
      </c>
      <c r="J34">
        <v>2</v>
      </c>
      <c r="K34">
        <v>30</v>
      </c>
      <c r="L34">
        <v>40</v>
      </c>
      <c r="N34">
        <v>540</v>
      </c>
      <c r="O34" s="4">
        <f t="shared" si="1"/>
        <v>84</v>
      </c>
      <c r="Q34" s="2"/>
      <c r="S34" s="2"/>
      <c r="T34" s="2"/>
    </row>
    <row r="35" spans="1:20" x14ac:dyDescent="0.3">
      <c r="A35" s="1">
        <v>44567</v>
      </c>
      <c r="B35">
        <v>9107</v>
      </c>
      <c r="C35">
        <v>1572</v>
      </c>
      <c r="D35" s="2">
        <v>6.419354838709677</v>
      </c>
      <c r="E35">
        <v>508</v>
      </c>
      <c r="F35">
        <v>84.5</v>
      </c>
      <c r="G35">
        <v>25.290000915527301</v>
      </c>
      <c r="H35" s="3">
        <v>93</v>
      </c>
      <c r="I35">
        <v>0</v>
      </c>
      <c r="J35">
        <v>2</v>
      </c>
      <c r="K35">
        <v>25</v>
      </c>
      <c r="L35">
        <v>30</v>
      </c>
      <c r="N35">
        <v>410</v>
      </c>
      <c r="O35" s="4">
        <f t="shared" si="1"/>
        <v>85</v>
      </c>
      <c r="Q35" s="2"/>
      <c r="S35" s="2"/>
      <c r="T35" s="2"/>
    </row>
    <row r="36" spans="1:20" x14ac:dyDescent="0.3">
      <c r="A36" s="1">
        <v>44568</v>
      </c>
      <c r="B36">
        <v>1510</v>
      </c>
      <c r="C36">
        <v>1344</v>
      </c>
      <c r="D36" s="2">
        <v>7.661290322580645</v>
      </c>
      <c r="E36">
        <v>513</v>
      </c>
      <c r="F36">
        <v>85.5</v>
      </c>
      <c r="G36">
        <v>25.590000152587901</v>
      </c>
      <c r="H36" s="3">
        <v>92</v>
      </c>
      <c r="I36">
        <v>4</v>
      </c>
      <c r="J36">
        <v>2</v>
      </c>
      <c r="K36">
        <v>25</v>
      </c>
      <c r="L36">
        <v>30</v>
      </c>
      <c r="N36">
        <v>450</v>
      </c>
      <c r="O36" s="4">
        <f t="shared" si="1"/>
        <v>86</v>
      </c>
      <c r="Q36" s="2"/>
      <c r="S36" s="2"/>
      <c r="T36" s="2"/>
    </row>
    <row r="37" spans="1:20" x14ac:dyDescent="0.3">
      <c r="A37" s="1">
        <v>44569</v>
      </c>
      <c r="B37">
        <v>5370</v>
      </c>
      <c r="C37">
        <v>1463</v>
      </c>
      <c r="D37" s="2">
        <v>4.774193548387097</v>
      </c>
      <c r="E37">
        <v>490</v>
      </c>
      <c r="F37">
        <v>85.5</v>
      </c>
      <c r="G37">
        <v>25.590000152587901</v>
      </c>
      <c r="H37" s="3">
        <v>93</v>
      </c>
      <c r="I37">
        <v>0</v>
      </c>
      <c r="J37">
        <v>0</v>
      </c>
      <c r="K37">
        <v>15</v>
      </c>
      <c r="L37">
        <v>15</v>
      </c>
      <c r="N37">
        <v>80</v>
      </c>
      <c r="O37" s="4">
        <f t="shared" si="1"/>
        <v>87</v>
      </c>
      <c r="Q37" s="2"/>
      <c r="S37" s="2"/>
      <c r="T37" s="2"/>
    </row>
    <row r="38" spans="1:20" x14ac:dyDescent="0.3">
      <c r="A38" s="1">
        <v>44570</v>
      </c>
      <c r="B38">
        <v>6175</v>
      </c>
      <c r="C38">
        <v>1554</v>
      </c>
      <c r="D38" s="2">
        <v>2.6774193548387095</v>
      </c>
      <c r="E38">
        <v>573</v>
      </c>
      <c r="F38">
        <v>85.400001525878906</v>
      </c>
      <c r="G38">
        <v>25.559999465942401</v>
      </c>
      <c r="H38" s="3">
        <v>92</v>
      </c>
      <c r="I38">
        <v>0</v>
      </c>
      <c r="J38">
        <v>0</v>
      </c>
      <c r="K38">
        <v>15</v>
      </c>
      <c r="L38">
        <v>15</v>
      </c>
      <c r="N38">
        <v>210</v>
      </c>
      <c r="O38" s="4">
        <v>60</v>
      </c>
      <c r="Q38" s="2"/>
      <c r="S38" s="2"/>
      <c r="T38" s="2"/>
    </row>
    <row r="39" spans="1:20" x14ac:dyDescent="0.3">
      <c r="A39" s="1">
        <v>44571</v>
      </c>
      <c r="B39">
        <v>10536</v>
      </c>
      <c r="C39">
        <v>1604</v>
      </c>
      <c r="D39" s="2">
        <v>8.112903225806452</v>
      </c>
      <c r="E39">
        <v>527</v>
      </c>
      <c r="F39">
        <v>85.099998474121094</v>
      </c>
      <c r="G39">
        <v>25.4899997711182</v>
      </c>
      <c r="H39" s="3">
        <v>93</v>
      </c>
      <c r="I39">
        <v>10</v>
      </c>
      <c r="J39">
        <v>2</v>
      </c>
      <c r="K39">
        <v>15</v>
      </c>
      <c r="L39">
        <v>15</v>
      </c>
      <c r="N39">
        <v>150</v>
      </c>
      <c r="O39" s="4">
        <f>(O38-2)</f>
        <v>58</v>
      </c>
      <c r="Q39" s="2"/>
      <c r="S39" s="2"/>
      <c r="T39" s="2"/>
    </row>
    <row r="40" spans="1:20" x14ac:dyDescent="0.3">
      <c r="A40" s="1">
        <v>44572</v>
      </c>
      <c r="B40">
        <v>2916</v>
      </c>
      <c r="C40">
        <v>1435</v>
      </c>
      <c r="D40" s="2">
        <v>8.564516129032258</v>
      </c>
      <c r="E40">
        <v>511</v>
      </c>
      <c r="F40">
        <v>85.400001525878906</v>
      </c>
      <c r="G40">
        <v>25.559999465942401</v>
      </c>
      <c r="H40" s="3">
        <v>94</v>
      </c>
      <c r="I40">
        <v>0</v>
      </c>
      <c r="J40">
        <v>2</v>
      </c>
      <c r="K40">
        <v>0</v>
      </c>
      <c r="L40">
        <v>2</v>
      </c>
      <c r="N40">
        <v>80</v>
      </c>
      <c r="O40" s="4">
        <f t="shared" ref="O40:O53" si="2">(O39-2)</f>
        <v>56</v>
      </c>
      <c r="Q40" s="2"/>
      <c r="S40" s="2"/>
      <c r="T40" s="2"/>
    </row>
    <row r="41" spans="1:20" x14ac:dyDescent="0.3">
      <c r="A41" s="1">
        <v>44573</v>
      </c>
      <c r="B41">
        <v>4974</v>
      </c>
      <c r="C41">
        <v>1446</v>
      </c>
      <c r="D41" s="2">
        <v>8.7903225806451619</v>
      </c>
      <c r="E41">
        <v>538</v>
      </c>
      <c r="F41">
        <v>85.099998474121094</v>
      </c>
      <c r="G41">
        <v>25.4899997711182</v>
      </c>
      <c r="H41" s="3">
        <v>93</v>
      </c>
      <c r="I41">
        <v>4</v>
      </c>
      <c r="J41">
        <v>0</v>
      </c>
      <c r="K41">
        <v>6</v>
      </c>
      <c r="L41">
        <v>15</v>
      </c>
      <c r="N41">
        <v>170</v>
      </c>
      <c r="O41" s="4">
        <f t="shared" si="2"/>
        <v>54</v>
      </c>
      <c r="Q41" s="2"/>
      <c r="S41" s="2"/>
      <c r="T41" s="2"/>
    </row>
    <row r="42" spans="1:20" x14ac:dyDescent="0.3">
      <c r="A42" s="1">
        <v>44574</v>
      </c>
      <c r="B42">
        <v>6349</v>
      </c>
      <c r="C42">
        <v>1467</v>
      </c>
      <c r="D42" s="2">
        <v>8.435483870967742</v>
      </c>
      <c r="E42">
        <v>468</v>
      </c>
      <c r="F42">
        <v>84.900001525878906</v>
      </c>
      <c r="G42">
        <v>25.409999847412099</v>
      </c>
      <c r="H42" s="3">
        <v>94</v>
      </c>
      <c r="I42">
        <v>2</v>
      </c>
      <c r="J42">
        <v>130</v>
      </c>
      <c r="K42">
        <v>10</v>
      </c>
      <c r="L42">
        <v>10</v>
      </c>
      <c r="N42">
        <v>35</v>
      </c>
      <c r="O42" s="4">
        <f t="shared" si="2"/>
        <v>52</v>
      </c>
      <c r="Q42" s="2"/>
      <c r="S42" s="2"/>
      <c r="T42" s="2"/>
    </row>
    <row r="43" spans="1:20" x14ac:dyDescent="0.3">
      <c r="A43" s="1">
        <v>44575</v>
      </c>
      <c r="B43">
        <v>4026</v>
      </c>
      <c r="C43">
        <v>1470</v>
      </c>
      <c r="D43" s="2">
        <v>8.4516129032258061</v>
      </c>
      <c r="E43">
        <v>524</v>
      </c>
      <c r="F43">
        <v>85.5</v>
      </c>
      <c r="G43">
        <v>25.590000152587901</v>
      </c>
      <c r="H43" s="3">
        <v>95</v>
      </c>
      <c r="I43">
        <v>2</v>
      </c>
      <c r="J43">
        <v>130</v>
      </c>
      <c r="K43">
        <v>6</v>
      </c>
      <c r="L43">
        <v>10</v>
      </c>
      <c r="N43">
        <v>40</v>
      </c>
      <c r="O43" s="4">
        <f t="shared" si="2"/>
        <v>50</v>
      </c>
      <c r="Q43" s="2"/>
      <c r="S43" s="2"/>
      <c r="T43" s="2"/>
    </row>
    <row r="44" spans="1:20" x14ac:dyDescent="0.3">
      <c r="A44" s="1">
        <v>44576</v>
      </c>
      <c r="B44">
        <v>8538</v>
      </c>
      <c r="C44">
        <v>1562</v>
      </c>
      <c r="D44" s="2">
        <v>7.0483870967741939</v>
      </c>
      <c r="E44">
        <v>511</v>
      </c>
      <c r="F44">
        <v>85.300003051757798</v>
      </c>
      <c r="G44">
        <v>25.530000686645501</v>
      </c>
      <c r="H44" s="3">
        <v>96</v>
      </c>
      <c r="I44">
        <v>6</v>
      </c>
      <c r="J44">
        <v>2</v>
      </c>
      <c r="K44">
        <v>25</v>
      </c>
      <c r="L44">
        <v>25</v>
      </c>
      <c r="N44">
        <v>240</v>
      </c>
      <c r="O44" s="4">
        <f t="shared" si="2"/>
        <v>48</v>
      </c>
      <c r="Q44" s="2"/>
      <c r="S44" s="2"/>
      <c r="T44" s="2"/>
    </row>
    <row r="45" spans="1:20" x14ac:dyDescent="0.3">
      <c r="A45" s="1">
        <v>44577</v>
      </c>
      <c r="B45">
        <v>6076</v>
      </c>
      <c r="C45">
        <v>1617</v>
      </c>
      <c r="D45" s="2">
        <v>8.0322580645161299</v>
      </c>
      <c r="E45">
        <v>541</v>
      </c>
      <c r="F45">
        <v>84.900001525878906</v>
      </c>
      <c r="G45">
        <v>25.409999847412099</v>
      </c>
      <c r="H45" s="3">
        <v>96</v>
      </c>
      <c r="I45">
        <v>10</v>
      </c>
      <c r="J45">
        <v>2</v>
      </c>
      <c r="K45">
        <v>30</v>
      </c>
      <c r="L45">
        <v>25</v>
      </c>
      <c r="N45">
        <v>240</v>
      </c>
      <c r="O45" s="4">
        <f t="shared" si="2"/>
        <v>46</v>
      </c>
      <c r="Q45" s="2"/>
      <c r="S45" s="2"/>
      <c r="T45" s="2"/>
    </row>
    <row r="46" spans="1:20" x14ac:dyDescent="0.3">
      <c r="A46" s="1">
        <v>44578</v>
      </c>
      <c r="B46">
        <v>6497</v>
      </c>
      <c r="C46">
        <v>1492</v>
      </c>
      <c r="D46" s="2">
        <v>7.435483870967742</v>
      </c>
      <c r="E46">
        <v>531</v>
      </c>
      <c r="F46">
        <v>84.400001525878906</v>
      </c>
      <c r="G46">
        <v>25.2600002288818</v>
      </c>
      <c r="H46" s="3">
        <v>98</v>
      </c>
      <c r="I46">
        <v>6</v>
      </c>
      <c r="J46">
        <v>15</v>
      </c>
      <c r="K46">
        <v>25</v>
      </c>
      <c r="L46">
        <v>30</v>
      </c>
      <c r="N46">
        <v>260</v>
      </c>
      <c r="O46" s="4">
        <f t="shared" si="2"/>
        <v>44</v>
      </c>
      <c r="Q46" s="2"/>
      <c r="S46" s="2"/>
      <c r="T46" s="2"/>
    </row>
    <row r="47" spans="1:20" x14ac:dyDescent="0.3">
      <c r="A47" s="1">
        <v>44579</v>
      </c>
      <c r="B47">
        <v>2826</v>
      </c>
      <c r="C47">
        <v>1402</v>
      </c>
      <c r="D47" s="2">
        <v>7.693548387096774</v>
      </c>
      <c r="E47">
        <v>357</v>
      </c>
      <c r="F47">
        <v>85</v>
      </c>
      <c r="G47">
        <v>25.440000534057599</v>
      </c>
      <c r="H47" s="3">
        <v>99</v>
      </c>
      <c r="I47">
        <v>8</v>
      </c>
      <c r="J47">
        <v>20</v>
      </c>
      <c r="K47">
        <v>25</v>
      </c>
      <c r="L47">
        <v>30</v>
      </c>
      <c r="N47">
        <v>280</v>
      </c>
      <c r="O47" s="4">
        <f t="shared" si="2"/>
        <v>42</v>
      </c>
      <c r="Q47" s="2"/>
      <c r="S47" s="2"/>
      <c r="T47" s="2"/>
    </row>
    <row r="48" spans="1:20" x14ac:dyDescent="0.3">
      <c r="A48" s="1">
        <v>44580</v>
      </c>
      <c r="B48">
        <v>8367</v>
      </c>
      <c r="C48">
        <v>1670</v>
      </c>
      <c r="D48" s="2">
        <v>8.387096774193548</v>
      </c>
      <c r="E48">
        <v>523</v>
      </c>
      <c r="F48">
        <v>85.400001525878906</v>
      </c>
      <c r="G48">
        <v>25.559999465942401</v>
      </c>
      <c r="H48" s="3">
        <v>98</v>
      </c>
      <c r="I48">
        <v>10</v>
      </c>
      <c r="J48">
        <v>8</v>
      </c>
      <c r="K48">
        <v>25</v>
      </c>
      <c r="L48">
        <v>30</v>
      </c>
      <c r="N48">
        <v>250</v>
      </c>
      <c r="O48" s="4">
        <f t="shared" si="2"/>
        <v>40</v>
      </c>
      <c r="Q48" s="2"/>
      <c r="S48" s="2"/>
      <c r="T48" s="2"/>
    </row>
    <row r="49" spans="1:20" x14ac:dyDescent="0.3">
      <c r="A49" s="1">
        <v>44581</v>
      </c>
      <c r="B49">
        <v>2759</v>
      </c>
      <c r="C49">
        <v>1401</v>
      </c>
      <c r="D49" s="2">
        <v>8.4193548387096779</v>
      </c>
      <c r="E49">
        <v>456</v>
      </c>
      <c r="F49">
        <v>85.5</v>
      </c>
      <c r="G49">
        <v>25.610000610351602</v>
      </c>
      <c r="H49" s="3">
        <v>96</v>
      </c>
      <c r="I49">
        <v>10</v>
      </c>
      <c r="J49">
        <v>2</v>
      </c>
      <c r="K49">
        <v>30</v>
      </c>
      <c r="L49">
        <v>35</v>
      </c>
      <c r="N49">
        <v>380</v>
      </c>
      <c r="O49" s="4">
        <f t="shared" si="2"/>
        <v>38</v>
      </c>
      <c r="Q49" s="2"/>
      <c r="S49" s="2"/>
      <c r="T49" s="2"/>
    </row>
    <row r="50" spans="1:20" x14ac:dyDescent="0.3">
      <c r="A50" s="1">
        <v>44582</v>
      </c>
      <c r="B50">
        <v>2390</v>
      </c>
      <c r="C50">
        <v>1404</v>
      </c>
      <c r="D50" s="2">
        <v>8.9516129032258061</v>
      </c>
      <c r="E50">
        <v>61</v>
      </c>
      <c r="F50">
        <v>85.400001525878906</v>
      </c>
      <c r="G50">
        <v>25.559999465942401</v>
      </c>
      <c r="H50" s="3">
        <v>97</v>
      </c>
      <c r="I50">
        <v>2</v>
      </c>
      <c r="J50">
        <v>2</v>
      </c>
      <c r="K50">
        <v>10</v>
      </c>
      <c r="L50">
        <v>15</v>
      </c>
      <c r="N50">
        <v>70</v>
      </c>
      <c r="O50" s="4">
        <f t="shared" si="2"/>
        <v>36</v>
      </c>
      <c r="Q50" s="2"/>
      <c r="S50" s="2"/>
      <c r="T50" s="2"/>
    </row>
    <row r="51" spans="1:20" x14ac:dyDescent="0.3">
      <c r="A51" s="1">
        <v>44583</v>
      </c>
      <c r="B51">
        <v>6474</v>
      </c>
      <c r="C51">
        <v>1655</v>
      </c>
      <c r="D51" s="2">
        <v>8.1612903225806459</v>
      </c>
      <c r="E51">
        <v>467</v>
      </c>
      <c r="F51">
        <v>84</v>
      </c>
      <c r="G51">
        <v>25.139999389648398</v>
      </c>
      <c r="H51" s="3">
        <v>111</v>
      </c>
      <c r="I51">
        <v>6</v>
      </c>
      <c r="J51">
        <v>2</v>
      </c>
      <c r="K51">
        <v>20</v>
      </c>
      <c r="L51">
        <v>15</v>
      </c>
      <c r="N51">
        <v>100</v>
      </c>
      <c r="O51" s="4">
        <f t="shared" si="2"/>
        <v>34</v>
      </c>
      <c r="Q51" s="2"/>
      <c r="S51" s="2"/>
      <c r="T51" s="2"/>
    </row>
    <row r="52" spans="1:20" x14ac:dyDescent="0.3">
      <c r="A52" s="1">
        <v>44584</v>
      </c>
      <c r="B52">
        <v>36019</v>
      </c>
      <c r="C52">
        <v>2690</v>
      </c>
      <c r="D52" s="2">
        <v>8.193548387096774</v>
      </c>
      <c r="E52">
        <v>445</v>
      </c>
      <c r="F52">
        <v>35</v>
      </c>
      <c r="G52">
        <f>(G51+1)</f>
        <v>26.139999389648398</v>
      </c>
      <c r="H52" s="3">
        <v>116</v>
      </c>
      <c r="I52">
        <v>10</v>
      </c>
      <c r="J52">
        <v>2</v>
      </c>
      <c r="K52">
        <v>30</v>
      </c>
      <c r="L52">
        <v>20</v>
      </c>
      <c r="N52">
        <v>190</v>
      </c>
      <c r="O52" s="4">
        <f t="shared" si="2"/>
        <v>32</v>
      </c>
      <c r="Q52" s="2"/>
      <c r="S52" s="2"/>
      <c r="T52" s="2"/>
    </row>
    <row r="53" spans="1:20" x14ac:dyDescent="0.3">
      <c r="A53" s="1">
        <v>44585</v>
      </c>
      <c r="B53">
        <v>7155</v>
      </c>
      <c r="C53">
        <v>1497</v>
      </c>
      <c r="D53" s="2">
        <v>8.2741935483870961</v>
      </c>
      <c r="E53">
        <v>452</v>
      </c>
      <c r="F53">
        <v>43</v>
      </c>
      <c r="G53">
        <f t="shared" ref="G53:G66" si="3">(G52+1)</f>
        <v>27.139999389648398</v>
      </c>
      <c r="H53" s="3">
        <v>117</v>
      </c>
      <c r="I53">
        <v>8</v>
      </c>
      <c r="J53">
        <v>25</v>
      </c>
      <c r="K53">
        <v>30</v>
      </c>
      <c r="L53">
        <v>25</v>
      </c>
      <c r="N53">
        <v>360</v>
      </c>
      <c r="O53" s="4">
        <f t="shared" si="2"/>
        <v>30</v>
      </c>
      <c r="Q53" s="2"/>
      <c r="S53" s="2"/>
      <c r="T53" s="2"/>
    </row>
    <row r="54" spans="1:20" x14ac:dyDescent="0.3">
      <c r="A54" s="1">
        <v>44586</v>
      </c>
      <c r="B54">
        <v>2100</v>
      </c>
      <c r="C54">
        <v>1334</v>
      </c>
      <c r="D54" s="2">
        <v>7.903225806451613</v>
      </c>
      <c r="E54">
        <v>556</v>
      </c>
      <c r="F54">
        <v>35</v>
      </c>
      <c r="G54">
        <f t="shared" si="3"/>
        <v>28.139999389648398</v>
      </c>
      <c r="H54" s="3">
        <v>113</v>
      </c>
      <c r="I54">
        <v>6</v>
      </c>
      <c r="J54">
        <v>2</v>
      </c>
      <c r="K54">
        <v>20</v>
      </c>
      <c r="L54">
        <v>20</v>
      </c>
      <c r="N54">
        <v>150</v>
      </c>
      <c r="O54" s="4">
        <f t="shared" ref="O54:O69" si="4">(O53+1)</f>
        <v>31</v>
      </c>
      <c r="Q54" s="2"/>
      <c r="S54" s="2"/>
      <c r="T54" s="2"/>
    </row>
    <row r="55" spans="1:20" x14ac:dyDescent="0.3">
      <c r="A55" s="1">
        <v>44587</v>
      </c>
      <c r="B55">
        <v>2193</v>
      </c>
      <c r="C55">
        <v>1368</v>
      </c>
      <c r="D55" s="2">
        <v>9.241935483870968</v>
      </c>
      <c r="E55">
        <v>500</v>
      </c>
      <c r="F55">
        <v>36</v>
      </c>
      <c r="G55">
        <v>24.209999084472699</v>
      </c>
      <c r="H55" s="3">
        <v>112</v>
      </c>
      <c r="I55">
        <v>6</v>
      </c>
      <c r="J55">
        <v>10</v>
      </c>
      <c r="K55">
        <v>20</v>
      </c>
      <c r="L55">
        <v>20</v>
      </c>
      <c r="N55">
        <v>200</v>
      </c>
      <c r="O55" s="4">
        <f t="shared" si="4"/>
        <v>32</v>
      </c>
      <c r="Q55" s="2"/>
      <c r="S55" s="2"/>
      <c r="T55" s="2"/>
    </row>
    <row r="56" spans="1:20" x14ac:dyDescent="0.3">
      <c r="A56" s="1">
        <v>44588</v>
      </c>
      <c r="B56">
        <v>2470</v>
      </c>
      <c r="C56">
        <v>1370</v>
      </c>
      <c r="D56" s="2">
        <v>8.5</v>
      </c>
      <c r="E56">
        <v>465</v>
      </c>
      <c r="F56">
        <v>40</v>
      </c>
      <c r="G56">
        <v>23.959999084472699</v>
      </c>
      <c r="H56" s="3">
        <v>111</v>
      </c>
      <c r="I56">
        <v>8</v>
      </c>
      <c r="J56">
        <v>8</v>
      </c>
      <c r="K56">
        <v>20</v>
      </c>
      <c r="L56">
        <v>20</v>
      </c>
      <c r="N56">
        <v>200</v>
      </c>
      <c r="O56" s="4">
        <f t="shared" si="4"/>
        <v>33</v>
      </c>
      <c r="Q56" s="2"/>
      <c r="S56" s="2"/>
      <c r="T56" s="2"/>
    </row>
    <row r="57" spans="1:20" x14ac:dyDescent="0.3">
      <c r="A57" s="1">
        <v>44589</v>
      </c>
      <c r="B57">
        <v>1727</v>
      </c>
      <c r="C57">
        <v>1341</v>
      </c>
      <c r="D57" s="2">
        <v>8.241935483870968</v>
      </c>
      <c r="E57">
        <v>460</v>
      </c>
      <c r="F57">
        <v>47</v>
      </c>
      <c r="G57">
        <v>23.889999389648398</v>
      </c>
      <c r="H57" s="3">
        <v>113</v>
      </c>
      <c r="I57">
        <v>6</v>
      </c>
      <c r="J57">
        <v>8</v>
      </c>
      <c r="K57">
        <v>20</v>
      </c>
      <c r="L57">
        <v>20</v>
      </c>
      <c r="N57">
        <v>210</v>
      </c>
      <c r="O57" s="4">
        <f t="shared" si="4"/>
        <v>34</v>
      </c>
      <c r="Q57" s="2"/>
      <c r="S57" s="2"/>
      <c r="T57" s="2"/>
    </row>
    <row r="58" spans="1:20" x14ac:dyDescent="0.3">
      <c r="A58" s="1">
        <v>44590</v>
      </c>
      <c r="B58">
        <v>2104</v>
      </c>
      <c r="C58">
        <v>1474</v>
      </c>
      <c r="D58" s="2">
        <v>8.67741935483871</v>
      </c>
      <c r="E58">
        <v>405</v>
      </c>
      <c r="F58">
        <v>32</v>
      </c>
      <c r="G58">
        <v>23.959999084472699</v>
      </c>
      <c r="H58" s="3">
        <v>113</v>
      </c>
      <c r="I58">
        <v>2</v>
      </c>
      <c r="J58">
        <v>2</v>
      </c>
      <c r="K58">
        <v>15</v>
      </c>
      <c r="L58">
        <v>20</v>
      </c>
      <c r="N58">
        <v>240</v>
      </c>
      <c r="O58" s="4">
        <f t="shared" si="4"/>
        <v>35</v>
      </c>
      <c r="Q58" s="2"/>
      <c r="S58" s="2"/>
      <c r="T58" s="2"/>
    </row>
    <row r="59" spans="1:20" x14ac:dyDescent="0.3">
      <c r="A59" s="1">
        <v>44591</v>
      </c>
      <c r="B59">
        <v>3427</v>
      </c>
      <c r="C59">
        <v>1427</v>
      </c>
      <c r="D59" s="2">
        <v>7.5483870967741939</v>
      </c>
      <c r="E59">
        <v>374</v>
      </c>
      <c r="F59">
        <v>38</v>
      </c>
      <c r="G59">
        <v>24</v>
      </c>
      <c r="H59" s="3">
        <v>113</v>
      </c>
      <c r="I59">
        <v>4</v>
      </c>
      <c r="J59">
        <v>6</v>
      </c>
      <c r="K59">
        <v>15</v>
      </c>
      <c r="L59">
        <v>20</v>
      </c>
      <c r="N59">
        <v>200</v>
      </c>
      <c r="O59" s="4">
        <f t="shared" si="4"/>
        <v>36</v>
      </c>
      <c r="Q59" s="2"/>
      <c r="S59" s="2"/>
      <c r="T59" s="2"/>
    </row>
    <row r="60" spans="1:20" x14ac:dyDescent="0.3">
      <c r="A60" s="1">
        <v>44592</v>
      </c>
      <c r="B60">
        <v>1732</v>
      </c>
      <c r="C60">
        <v>1328</v>
      </c>
      <c r="D60" s="2">
        <v>8.4516129032258061</v>
      </c>
      <c r="E60">
        <v>442</v>
      </c>
      <c r="F60">
        <v>42</v>
      </c>
      <c r="G60">
        <v>24</v>
      </c>
      <c r="H60" s="3">
        <v>114</v>
      </c>
      <c r="I60">
        <v>4</v>
      </c>
      <c r="J60">
        <v>8</v>
      </c>
      <c r="K60">
        <v>15</v>
      </c>
      <c r="L60">
        <v>20</v>
      </c>
      <c r="N60">
        <v>80</v>
      </c>
      <c r="O60" s="4">
        <f t="shared" si="4"/>
        <v>37</v>
      </c>
      <c r="Q60" s="2"/>
      <c r="S60" s="2"/>
      <c r="T60" s="2"/>
    </row>
    <row r="61" spans="1:20" x14ac:dyDescent="0.3">
      <c r="A61" s="1">
        <v>44593</v>
      </c>
      <c r="B61">
        <v>2969</v>
      </c>
      <c r="C61">
        <v>1393</v>
      </c>
      <c r="D61" s="2">
        <v>8.241935483870968</v>
      </c>
      <c r="E61">
        <v>433</v>
      </c>
      <c r="F61">
        <v>48</v>
      </c>
      <c r="G61">
        <v>24.100000381469702</v>
      </c>
      <c r="H61" s="3">
        <v>117</v>
      </c>
      <c r="I61">
        <v>8</v>
      </c>
      <c r="J61">
        <v>20</v>
      </c>
      <c r="K61">
        <v>30</v>
      </c>
      <c r="L61">
        <v>20</v>
      </c>
      <c r="N61">
        <v>300</v>
      </c>
      <c r="O61" s="4">
        <v>70</v>
      </c>
      <c r="Q61" s="2"/>
      <c r="S61" s="2"/>
      <c r="T61" s="2"/>
    </row>
    <row r="62" spans="1:20" x14ac:dyDescent="0.3">
      <c r="A62" s="1">
        <v>44594</v>
      </c>
      <c r="B62">
        <v>3134</v>
      </c>
      <c r="C62">
        <v>1359</v>
      </c>
      <c r="D62" s="2">
        <v>8.7258064516129039</v>
      </c>
      <c r="E62">
        <v>436</v>
      </c>
      <c r="F62">
        <v>50</v>
      </c>
      <c r="G62">
        <v>23.889999389648398</v>
      </c>
      <c r="H62" s="3">
        <v>118</v>
      </c>
      <c r="I62">
        <v>8</v>
      </c>
      <c r="J62">
        <v>20</v>
      </c>
      <c r="K62">
        <v>30</v>
      </c>
      <c r="L62">
        <v>20</v>
      </c>
      <c r="N62">
        <v>180</v>
      </c>
      <c r="O62" s="4">
        <f>(O61+1)</f>
        <v>71</v>
      </c>
      <c r="Q62" s="2"/>
      <c r="S62" s="2"/>
      <c r="T62" s="2"/>
    </row>
    <row r="63" spans="1:20" x14ac:dyDescent="0.3">
      <c r="A63" s="1">
        <v>44595</v>
      </c>
      <c r="B63">
        <v>2971</v>
      </c>
      <c r="C63">
        <v>1002</v>
      </c>
      <c r="D63" s="2">
        <v>8.564516129032258</v>
      </c>
      <c r="E63">
        <v>448</v>
      </c>
      <c r="F63">
        <v>57</v>
      </c>
      <c r="G63">
        <v>23.889999389648398</v>
      </c>
      <c r="H63" s="3">
        <v>117</v>
      </c>
      <c r="I63">
        <v>4</v>
      </c>
      <c r="J63">
        <v>20</v>
      </c>
      <c r="K63">
        <v>15</v>
      </c>
      <c r="L63">
        <v>20</v>
      </c>
      <c r="N63">
        <v>250</v>
      </c>
      <c r="O63" s="4">
        <f t="shared" si="1"/>
        <v>72</v>
      </c>
      <c r="Q63" s="2"/>
      <c r="S63" s="2"/>
      <c r="T63" s="2"/>
    </row>
    <row r="64" spans="1:20" x14ac:dyDescent="0.3">
      <c r="A64" s="1">
        <v>44596</v>
      </c>
      <c r="B64">
        <v>10694</v>
      </c>
      <c r="C64">
        <v>3199</v>
      </c>
      <c r="D64" s="2">
        <v>5.758064516129032</v>
      </c>
      <c r="E64">
        <v>408</v>
      </c>
      <c r="F64">
        <v>42</v>
      </c>
      <c r="G64">
        <v>23.959999084472699</v>
      </c>
      <c r="H64" s="3">
        <v>118</v>
      </c>
      <c r="I64">
        <v>4</v>
      </c>
      <c r="J64">
        <v>20</v>
      </c>
      <c r="K64">
        <v>15</v>
      </c>
      <c r="L64">
        <v>20</v>
      </c>
      <c r="N64">
        <v>130</v>
      </c>
      <c r="O64" s="4">
        <f t="shared" si="1"/>
        <v>73</v>
      </c>
      <c r="Q64" s="2"/>
      <c r="S64" s="2"/>
      <c r="T64" s="2"/>
    </row>
    <row r="65" spans="1:20" x14ac:dyDescent="0.3">
      <c r="A65" s="1">
        <v>44597</v>
      </c>
      <c r="B65">
        <v>8001</v>
      </c>
      <c r="C65">
        <v>2902</v>
      </c>
      <c r="D65" s="2">
        <v>8.435483870967742</v>
      </c>
      <c r="E65">
        <v>411</v>
      </c>
      <c r="F65">
        <v>49</v>
      </c>
      <c r="G65">
        <v>22</v>
      </c>
      <c r="H65" s="3">
        <v>117</v>
      </c>
      <c r="I65">
        <v>8</v>
      </c>
      <c r="J65">
        <v>25</v>
      </c>
      <c r="K65">
        <v>30</v>
      </c>
      <c r="L65">
        <v>15</v>
      </c>
      <c r="N65">
        <v>340</v>
      </c>
      <c r="O65" s="4">
        <f t="shared" si="1"/>
        <v>74</v>
      </c>
      <c r="Q65" s="2"/>
      <c r="S65" s="2"/>
      <c r="T65" s="2"/>
    </row>
    <row r="66" spans="1:20" x14ac:dyDescent="0.3">
      <c r="A66" s="1">
        <v>44598</v>
      </c>
      <c r="B66">
        <v>11037</v>
      </c>
      <c r="C66">
        <v>3226</v>
      </c>
      <c r="D66" s="2">
        <v>7.354838709677419</v>
      </c>
      <c r="E66">
        <v>274</v>
      </c>
      <c r="F66">
        <v>31</v>
      </c>
      <c r="G66">
        <v>21</v>
      </c>
      <c r="H66" s="3">
        <v>118</v>
      </c>
      <c r="I66">
        <v>8</v>
      </c>
      <c r="J66">
        <v>30</v>
      </c>
      <c r="K66">
        <v>30</v>
      </c>
      <c r="L66">
        <v>15</v>
      </c>
      <c r="N66">
        <v>230</v>
      </c>
      <c r="O66" s="4">
        <f t="shared" si="1"/>
        <v>75</v>
      </c>
      <c r="Q66" s="2"/>
      <c r="S66" s="2"/>
      <c r="T66" s="2"/>
    </row>
    <row r="67" spans="1:20" x14ac:dyDescent="0.3">
      <c r="A67" s="1">
        <v>44599</v>
      </c>
      <c r="B67">
        <v>5263</v>
      </c>
      <c r="C67">
        <v>2750</v>
      </c>
      <c r="D67" s="2">
        <v>0.9838709677419355</v>
      </c>
      <c r="E67">
        <v>295</v>
      </c>
      <c r="F67">
        <v>37</v>
      </c>
      <c r="G67">
        <f>(G10+1.35)</f>
        <v>25.2399993896484</v>
      </c>
      <c r="H67" s="3">
        <v>119</v>
      </c>
      <c r="I67">
        <v>4</v>
      </c>
      <c r="J67">
        <v>2</v>
      </c>
      <c r="K67">
        <v>15</v>
      </c>
      <c r="L67">
        <v>15</v>
      </c>
      <c r="N67">
        <v>170</v>
      </c>
      <c r="O67" s="4">
        <f t="shared" si="1"/>
        <v>76</v>
      </c>
      <c r="Q67" s="2"/>
      <c r="S67" s="2"/>
      <c r="T67" s="2"/>
    </row>
    <row r="68" spans="1:20" x14ac:dyDescent="0.3">
      <c r="A68" s="1">
        <v>44600</v>
      </c>
      <c r="B68">
        <v>15300</v>
      </c>
      <c r="C68">
        <v>3493</v>
      </c>
      <c r="D68" s="2">
        <v>7.532258064516129</v>
      </c>
      <c r="E68">
        <v>424</v>
      </c>
      <c r="F68">
        <v>49</v>
      </c>
      <c r="G68">
        <f t="shared" ref="G68:G75" si="5">(G11+1.35)</f>
        <v>25.3099990844727</v>
      </c>
      <c r="H68" s="3">
        <v>120</v>
      </c>
      <c r="I68">
        <v>0</v>
      </c>
      <c r="J68">
        <v>2</v>
      </c>
      <c r="K68">
        <v>10</v>
      </c>
      <c r="L68">
        <v>15</v>
      </c>
      <c r="N68">
        <v>140</v>
      </c>
      <c r="O68" s="4">
        <f t="shared" si="1"/>
        <v>77</v>
      </c>
      <c r="Q68" s="2"/>
      <c r="S68" s="2"/>
      <c r="T68" s="2"/>
    </row>
    <row r="69" spans="1:20" x14ac:dyDescent="0.3">
      <c r="A69" s="1">
        <v>44601</v>
      </c>
      <c r="B69">
        <v>8757</v>
      </c>
      <c r="C69">
        <v>3011</v>
      </c>
      <c r="D69" s="2">
        <v>7.17741935483871</v>
      </c>
      <c r="E69">
        <v>283</v>
      </c>
      <c r="F69">
        <v>32</v>
      </c>
      <c r="G69">
        <f t="shared" si="5"/>
        <v>25.35</v>
      </c>
      <c r="H69" s="3">
        <v>122</v>
      </c>
      <c r="I69">
        <v>4</v>
      </c>
      <c r="J69">
        <v>10</v>
      </c>
      <c r="K69">
        <v>20</v>
      </c>
      <c r="L69">
        <v>15</v>
      </c>
      <c r="N69">
        <v>220</v>
      </c>
      <c r="O69" s="4">
        <f t="shared" si="1"/>
        <v>78</v>
      </c>
      <c r="Q69" s="2"/>
      <c r="S69" s="2"/>
      <c r="T69" s="2"/>
    </row>
    <row r="70" spans="1:20" x14ac:dyDescent="0.3">
      <c r="A70" s="1">
        <v>44602</v>
      </c>
      <c r="B70">
        <v>7132</v>
      </c>
      <c r="C70">
        <v>2806</v>
      </c>
      <c r="D70" s="2">
        <v>7.290322580645161</v>
      </c>
      <c r="E70">
        <v>381</v>
      </c>
      <c r="F70">
        <v>24</v>
      </c>
      <c r="G70">
        <f t="shared" si="5"/>
        <v>25.35</v>
      </c>
      <c r="H70" s="3">
        <v>121</v>
      </c>
      <c r="I70">
        <v>2</v>
      </c>
      <c r="J70">
        <v>10</v>
      </c>
      <c r="K70">
        <v>15</v>
      </c>
      <c r="L70">
        <v>15</v>
      </c>
      <c r="N70">
        <v>190</v>
      </c>
      <c r="O70" s="4">
        <f t="shared" si="1"/>
        <v>79</v>
      </c>
      <c r="Q70" s="2"/>
      <c r="S70" s="2"/>
      <c r="T70" s="2"/>
    </row>
    <row r="71" spans="1:20" x14ac:dyDescent="0.3">
      <c r="A71" s="1">
        <v>44603</v>
      </c>
      <c r="B71">
        <v>11256</v>
      </c>
      <c r="C71">
        <v>3300</v>
      </c>
      <c r="D71" s="2">
        <v>8.9677419354838701</v>
      </c>
      <c r="E71">
        <v>412</v>
      </c>
      <c r="F71">
        <v>34</v>
      </c>
      <c r="G71">
        <f t="shared" si="5"/>
        <v>25.450000381469703</v>
      </c>
      <c r="H71" s="3">
        <v>122</v>
      </c>
      <c r="I71">
        <v>2</v>
      </c>
      <c r="J71">
        <v>2</v>
      </c>
      <c r="K71">
        <v>15</v>
      </c>
      <c r="L71">
        <v>15</v>
      </c>
      <c r="N71">
        <v>150</v>
      </c>
      <c r="O71" s="4">
        <f t="shared" si="1"/>
        <v>80</v>
      </c>
      <c r="Q71" s="2"/>
      <c r="S71" s="2"/>
      <c r="T71" s="2"/>
    </row>
    <row r="72" spans="1:20" x14ac:dyDescent="0.3">
      <c r="A72" s="1">
        <v>44604</v>
      </c>
      <c r="B72">
        <v>2436</v>
      </c>
      <c r="C72">
        <v>2430</v>
      </c>
      <c r="D72" s="2">
        <v>8.064516129032258</v>
      </c>
      <c r="E72">
        <v>219</v>
      </c>
      <c r="F72">
        <v>48</v>
      </c>
      <c r="G72">
        <f t="shared" si="5"/>
        <v>25.2399993896484</v>
      </c>
      <c r="H72" s="3">
        <v>121</v>
      </c>
      <c r="I72">
        <v>60</v>
      </c>
      <c r="J72">
        <v>20</v>
      </c>
      <c r="K72">
        <v>20</v>
      </c>
      <c r="L72">
        <v>20</v>
      </c>
      <c r="N72">
        <v>280</v>
      </c>
      <c r="O72" s="4">
        <f t="shared" si="1"/>
        <v>81</v>
      </c>
      <c r="Q72" s="2"/>
      <c r="S72" s="2"/>
      <c r="T72" s="2"/>
    </row>
    <row r="73" spans="1:20" x14ac:dyDescent="0.3">
      <c r="A73" s="1">
        <v>44605</v>
      </c>
      <c r="B73">
        <v>1223</v>
      </c>
      <c r="C73">
        <v>2140</v>
      </c>
      <c r="D73" s="2">
        <v>7.5</v>
      </c>
      <c r="E73">
        <v>152</v>
      </c>
      <c r="F73">
        <v>40</v>
      </c>
      <c r="G73">
        <f t="shared" si="5"/>
        <v>25.2399993896484</v>
      </c>
      <c r="H73" s="3">
        <v>122</v>
      </c>
      <c r="I73">
        <v>60</v>
      </c>
      <c r="J73">
        <v>25</v>
      </c>
      <c r="K73">
        <v>20</v>
      </c>
      <c r="L73">
        <v>20</v>
      </c>
      <c r="N73">
        <v>170</v>
      </c>
      <c r="O73" s="4">
        <f t="shared" si="1"/>
        <v>82</v>
      </c>
      <c r="Q73" s="2"/>
      <c r="S73" s="2"/>
      <c r="T73" s="2"/>
    </row>
    <row r="74" spans="1:20" x14ac:dyDescent="0.3">
      <c r="A74" s="1">
        <v>44606</v>
      </c>
      <c r="B74">
        <v>3673</v>
      </c>
      <c r="C74">
        <v>2344</v>
      </c>
      <c r="D74" s="2">
        <v>7.419354838709677</v>
      </c>
      <c r="E74">
        <v>355</v>
      </c>
      <c r="F74">
        <v>48</v>
      </c>
      <c r="G74">
        <f t="shared" si="5"/>
        <v>25.3099990844727</v>
      </c>
      <c r="H74" s="3">
        <v>124</v>
      </c>
      <c r="I74">
        <v>60</v>
      </c>
      <c r="J74">
        <v>15</v>
      </c>
      <c r="K74">
        <v>20</v>
      </c>
      <c r="L74">
        <v>20</v>
      </c>
      <c r="N74">
        <v>280</v>
      </c>
      <c r="O74" s="4">
        <f t="shared" si="1"/>
        <v>83</v>
      </c>
      <c r="Q74" s="2"/>
      <c r="S74" s="2"/>
      <c r="T74" s="2"/>
    </row>
    <row r="75" spans="1:20" x14ac:dyDescent="0.3">
      <c r="A75" s="1">
        <v>44607</v>
      </c>
      <c r="B75">
        <v>6637</v>
      </c>
      <c r="C75">
        <v>2677</v>
      </c>
      <c r="D75" s="2">
        <v>6.532258064516129</v>
      </c>
      <c r="E75">
        <v>310</v>
      </c>
      <c r="F75">
        <v>39</v>
      </c>
      <c r="G75">
        <f t="shared" si="5"/>
        <v>25.169999694824202</v>
      </c>
      <c r="H75" s="3">
        <v>123</v>
      </c>
      <c r="I75">
        <v>60</v>
      </c>
      <c r="J75">
        <v>15</v>
      </c>
      <c r="K75">
        <v>15</v>
      </c>
      <c r="L75">
        <v>20</v>
      </c>
      <c r="N75">
        <v>160</v>
      </c>
      <c r="O75" s="4">
        <f t="shared" si="1"/>
        <v>84</v>
      </c>
      <c r="Q75" s="3"/>
      <c r="S75" s="2"/>
      <c r="T75" s="2"/>
    </row>
    <row r="76" spans="1:20" x14ac:dyDescent="0.3">
      <c r="A76" s="1">
        <v>44608</v>
      </c>
      <c r="B76">
        <v>3321</v>
      </c>
      <c r="C76">
        <v>2413</v>
      </c>
      <c r="D76" s="2">
        <v>6.032258064516129</v>
      </c>
      <c r="E76">
        <v>250</v>
      </c>
      <c r="F76">
        <v>53</v>
      </c>
      <c r="G76">
        <v>27.450000762939499</v>
      </c>
      <c r="H76" s="3">
        <v>125</v>
      </c>
      <c r="I76">
        <v>60</v>
      </c>
      <c r="J76">
        <v>15</v>
      </c>
      <c r="K76">
        <v>20</v>
      </c>
      <c r="L76">
        <v>20</v>
      </c>
      <c r="N76">
        <v>300</v>
      </c>
      <c r="O76" s="4">
        <f t="shared" si="1"/>
        <v>85</v>
      </c>
      <c r="S76" s="2"/>
      <c r="T76" s="2"/>
    </row>
    <row r="77" spans="1:20" x14ac:dyDescent="0.3">
      <c r="A77" s="1">
        <v>44609</v>
      </c>
      <c r="B77">
        <v>3580</v>
      </c>
      <c r="C77">
        <v>2497</v>
      </c>
      <c r="D77" s="2">
        <v>7.129032258064516</v>
      </c>
      <c r="E77">
        <v>349</v>
      </c>
      <c r="F77">
        <v>73</v>
      </c>
      <c r="G77">
        <v>27.379999160766602</v>
      </c>
      <c r="H77" s="3">
        <v>123</v>
      </c>
      <c r="I77">
        <v>70</v>
      </c>
      <c r="J77">
        <v>15</v>
      </c>
      <c r="K77">
        <v>20</v>
      </c>
      <c r="L77">
        <v>20</v>
      </c>
      <c r="N77">
        <v>180</v>
      </c>
      <c r="O77" s="4">
        <f t="shared" si="1"/>
        <v>86</v>
      </c>
      <c r="S77" s="2"/>
      <c r="T77" s="2"/>
    </row>
    <row r="78" spans="1:20" x14ac:dyDescent="0.3">
      <c r="A78" s="1">
        <v>44610</v>
      </c>
      <c r="B78">
        <v>9919</v>
      </c>
      <c r="C78">
        <v>3123</v>
      </c>
      <c r="D78" s="2">
        <v>6.9838709677419351</v>
      </c>
      <c r="E78">
        <v>261</v>
      </c>
      <c r="F78">
        <v>80</v>
      </c>
      <c r="G78">
        <v>27.25</v>
      </c>
      <c r="H78" s="3">
        <v>124</v>
      </c>
      <c r="I78">
        <v>60</v>
      </c>
      <c r="J78">
        <v>15</v>
      </c>
      <c r="K78">
        <v>8</v>
      </c>
      <c r="L78">
        <v>20</v>
      </c>
      <c r="N78">
        <v>200</v>
      </c>
      <c r="O78" s="4">
        <v>70</v>
      </c>
      <c r="S78" s="2"/>
      <c r="T78" s="2"/>
    </row>
    <row r="79" spans="1:20" x14ac:dyDescent="0.3">
      <c r="A79" s="1">
        <v>44611</v>
      </c>
      <c r="B79">
        <v>3032</v>
      </c>
      <c r="C79">
        <v>2489</v>
      </c>
      <c r="D79" s="2">
        <v>7.032258064516129</v>
      </c>
      <c r="E79">
        <v>333</v>
      </c>
      <c r="F79">
        <v>57</v>
      </c>
      <c r="G79">
        <v>27.459999084472699</v>
      </c>
      <c r="H79" s="3">
        <v>123</v>
      </c>
      <c r="I79">
        <v>60</v>
      </c>
      <c r="J79">
        <v>15</v>
      </c>
      <c r="K79">
        <v>8</v>
      </c>
      <c r="L79">
        <v>20</v>
      </c>
      <c r="N79">
        <v>90</v>
      </c>
      <c r="O79" s="4">
        <f>(O78-1)</f>
        <v>69</v>
      </c>
      <c r="S79" s="2"/>
      <c r="T79" s="2"/>
    </row>
    <row r="80" spans="1:20" x14ac:dyDescent="0.3">
      <c r="A80" s="1">
        <v>44612</v>
      </c>
      <c r="B80">
        <v>9405</v>
      </c>
      <c r="C80">
        <v>3108</v>
      </c>
      <c r="D80" s="2">
        <v>7.225806451612903</v>
      </c>
      <c r="E80">
        <v>237</v>
      </c>
      <c r="F80">
        <v>63</v>
      </c>
      <c r="G80">
        <v>27.319999694824201</v>
      </c>
      <c r="H80" s="3">
        <v>121</v>
      </c>
      <c r="I80">
        <v>0</v>
      </c>
      <c r="J80">
        <v>2</v>
      </c>
      <c r="K80">
        <v>0</v>
      </c>
      <c r="L80">
        <v>2</v>
      </c>
      <c r="N80">
        <v>110</v>
      </c>
      <c r="O80" s="4">
        <f t="shared" ref="O80:O88" si="6">(O79-1)</f>
        <v>68</v>
      </c>
      <c r="S80" s="2"/>
      <c r="T80" s="2"/>
    </row>
    <row r="81" spans="1:20" x14ac:dyDescent="0.3">
      <c r="A81" s="1">
        <v>44613</v>
      </c>
      <c r="B81">
        <v>3176</v>
      </c>
      <c r="C81">
        <v>2498</v>
      </c>
      <c r="D81" s="2">
        <v>6.580645161290323</v>
      </c>
      <c r="E81">
        <v>383</v>
      </c>
      <c r="F81">
        <v>87</v>
      </c>
      <c r="G81">
        <v>24</v>
      </c>
      <c r="H81" s="3">
        <v>120</v>
      </c>
      <c r="I81">
        <v>0</v>
      </c>
      <c r="J81">
        <v>2</v>
      </c>
      <c r="K81">
        <v>2</v>
      </c>
      <c r="L81">
        <v>4</v>
      </c>
      <c r="N81">
        <v>160</v>
      </c>
      <c r="O81" s="4">
        <f t="shared" si="6"/>
        <v>67</v>
      </c>
      <c r="S81" s="2"/>
      <c r="T81" s="2"/>
    </row>
    <row r="82" spans="1:20" x14ac:dyDescent="0.3">
      <c r="A82" s="1">
        <v>44614</v>
      </c>
      <c r="B82">
        <v>18213</v>
      </c>
      <c r="C82">
        <v>3846</v>
      </c>
      <c r="D82" s="2">
        <v>6.629032258064516</v>
      </c>
      <c r="E82">
        <v>230</v>
      </c>
      <c r="F82">
        <v>93</v>
      </c>
      <c r="G82">
        <v>24.209999084472699</v>
      </c>
      <c r="H82" s="3">
        <v>120</v>
      </c>
      <c r="I82">
        <v>0</v>
      </c>
      <c r="J82">
        <v>4</v>
      </c>
      <c r="K82">
        <v>2</v>
      </c>
      <c r="L82">
        <v>6</v>
      </c>
      <c r="N82">
        <v>270</v>
      </c>
      <c r="O82" s="4">
        <f t="shared" si="6"/>
        <v>66</v>
      </c>
      <c r="S82" s="2"/>
      <c r="T82" s="2"/>
    </row>
    <row r="83" spans="1:20" x14ac:dyDescent="0.3">
      <c r="A83" s="1">
        <v>44615</v>
      </c>
      <c r="B83">
        <v>6132</v>
      </c>
      <c r="C83">
        <v>2696</v>
      </c>
      <c r="D83" s="2">
        <v>4.419354838709677</v>
      </c>
      <c r="E83">
        <v>292</v>
      </c>
      <c r="F83">
        <v>70</v>
      </c>
      <c r="G83">
        <v>23.959999084472699</v>
      </c>
      <c r="H83">
        <v>68</v>
      </c>
      <c r="I83">
        <v>0</v>
      </c>
      <c r="J83">
        <v>8</v>
      </c>
      <c r="K83">
        <v>4</v>
      </c>
      <c r="L83">
        <v>10</v>
      </c>
      <c r="N83">
        <v>530</v>
      </c>
      <c r="O83" s="4">
        <f t="shared" si="6"/>
        <v>65</v>
      </c>
      <c r="S83" s="2"/>
      <c r="T83" s="2"/>
    </row>
    <row r="84" spans="1:20" x14ac:dyDescent="0.3">
      <c r="A84" s="1">
        <v>44616</v>
      </c>
      <c r="B84">
        <v>3758</v>
      </c>
      <c r="C84">
        <v>2580</v>
      </c>
      <c r="D84" s="2">
        <v>4.758064516129032</v>
      </c>
      <c r="E84">
        <v>213</v>
      </c>
      <c r="F84">
        <v>77</v>
      </c>
      <c r="G84">
        <v>23.889999389648398</v>
      </c>
      <c r="H84">
        <v>72</v>
      </c>
      <c r="I84">
        <v>0</v>
      </c>
      <c r="J84">
        <v>15</v>
      </c>
      <c r="K84">
        <v>8</v>
      </c>
      <c r="L84">
        <v>25</v>
      </c>
      <c r="N84">
        <v>1060</v>
      </c>
      <c r="O84" s="4">
        <f t="shared" si="6"/>
        <v>64</v>
      </c>
      <c r="S84" s="2"/>
      <c r="T84" s="2"/>
    </row>
    <row r="85" spans="1:20" x14ac:dyDescent="0.3">
      <c r="A85" s="1">
        <v>44617</v>
      </c>
      <c r="B85">
        <v>12850</v>
      </c>
      <c r="C85">
        <v>3324</v>
      </c>
      <c r="D85" s="2">
        <v>4.693548387096774</v>
      </c>
      <c r="E85">
        <v>501</v>
      </c>
      <c r="F85">
        <v>13</v>
      </c>
      <c r="G85">
        <v>23.959999084472699</v>
      </c>
      <c r="H85">
        <v>56</v>
      </c>
      <c r="I85">
        <v>2</v>
      </c>
      <c r="J85">
        <v>0</v>
      </c>
      <c r="K85">
        <v>15</v>
      </c>
      <c r="L85">
        <v>10</v>
      </c>
      <c r="N85">
        <v>170</v>
      </c>
      <c r="O85" s="4">
        <f t="shared" si="6"/>
        <v>63</v>
      </c>
      <c r="S85" s="2"/>
      <c r="T85" s="2"/>
    </row>
    <row r="86" spans="1:20" x14ac:dyDescent="0.3">
      <c r="A86" s="1">
        <v>44618</v>
      </c>
      <c r="B86">
        <v>2309</v>
      </c>
      <c r="C86">
        <v>2222</v>
      </c>
      <c r="D86" s="2">
        <v>6.838709677419355</v>
      </c>
      <c r="E86">
        <v>497</v>
      </c>
      <c r="F86">
        <v>37</v>
      </c>
      <c r="G86">
        <v>24</v>
      </c>
      <c r="H86">
        <v>84</v>
      </c>
      <c r="I86">
        <v>170</v>
      </c>
      <c r="J86">
        <v>30</v>
      </c>
      <c r="K86">
        <v>15</v>
      </c>
      <c r="L86">
        <v>6</v>
      </c>
      <c r="N86">
        <v>70</v>
      </c>
      <c r="O86" s="4">
        <f t="shared" si="6"/>
        <v>62</v>
      </c>
      <c r="S86" s="2"/>
      <c r="T86" s="2"/>
    </row>
    <row r="87" spans="1:20" x14ac:dyDescent="0.3">
      <c r="A87" s="1">
        <v>44619</v>
      </c>
      <c r="B87">
        <v>4363</v>
      </c>
      <c r="C87">
        <v>2463</v>
      </c>
      <c r="D87" s="2">
        <v>4.564516129032258</v>
      </c>
      <c r="E87">
        <v>490</v>
      </c>
      <c r="F87">
        <v>25</v>
      </c>
      <c r="G87">
        <v>24</v>
      </c>
      <c r="H87">
        <v>84</v>
      </c>
      <c r="I87">
        <v>100</v>
      </c>
      <c r="J87">
        <v>25</v>
      </c>
      <c r="K87">
        <v>15</v>
      </c>
      <c r="L87">
        <v>8</v>
      </c>
      <c r="N87">
        <v>190</v>
      </c>
      <c r="O87" s="4">
        <f t="shared" si="6"/>
        <v>61</v>
      </c>
      <c r="S87" s="2"/>
      <c r="T87" s="2"/>
    </row>
    <row r="88" spans="1:20" x14ac:dyDescent="0.3">
      <c r="A88" s="1">
        <v>44620</v>
      </c>
      <c r="B88">
        <v>9787</v>
      </c>
      <c r="C88">
        <v>3328</v>
      </c>
      <c r="D88" s="2">
        <v>6.145161290322581</v>
      </c>
      <c r="E88">
        <v>484</v>
      </c>
      <c r="F88">
        <v>14</v>
      </c>
      <c r="G88">
        <v>24.100000381469702</v>
      </c>
      <c r="H88">
        <v>104</v>
      </c>
      <c r="I88">
        <v>110</v>
      </c>
      <c r="J88">
        <v>30</v>
      </c>
      <c r="K88">
        <v>15</v>
      </c>
      <c r="L88">
        <v>8</v>
      </c>
      <c r="N88">
        <v>80</v>
      </c>
      <c r="O88" s="4">
        <f t="shared" si="6"/>
        <v>60</v>
      </c>
      <c r="S88" s="2"/>
      <c r="T88" s="2"/>
    </row>
    <row r="89" spans="1:20" x14ac:dyDescent="0.3">
      <c r="A89" s="1">
        <v>44621</v>
      </c>
      <c r="B89">
        <v>13372</v>
      </c>
      <c r="C89">
        <v>3404</v>
      </c>
      <c r="D89" s="2">
        <v>6.645161290322581</v>
      </c>
      <c r="E89">
        <v>478</v>
      </c>
      <c r="F89">
        <v>30</v>
      </c>
      <c r="G89">
        <v>23.889999389648398</v>
      </c>
      <c r="H89">
        <v>76</v>
      </c>
      <c r="I89">
        <v>160</v>
      </c>
      <c r="J89">
        <v>25</v>
      </c>
      <c r="K89">
        <v>15</v>
      </c>
      <c r="L89">
        <v>10</v>
      </c>
      <c r="N89">
        <v>40</v>
      </c>
      <c r="O89" s="4">
        <v>75</v>
      </c>
      <c r="S89" s="2"/>
      <c r="T89" s="2"/>
    </row>
    <row r="90" spans="1:20" x14ac:dyDescent="0.3">
      <c r="A90" s="1">
        <v>44622</v>
      </c>
      <c r="B90">
        <v>6724</v>
      </c>
      <c r="C90">
        <v>2987</v>
      </c>
      <c r="D90" s="2">
        <v>3.532258064516129</v>
      </c>
      <c r="E90">
        <v>474</v>
      </c>
      <c r="F90">
        <v>60</v>
      </c>
      <c r="G90">
        <v>23.889999389648398</v>
      </c>
      <c r="H90">
        <v>76</v>
      </c>
      <c r="I90">
        <v>170</v>
      </c>
      <c r="J90">
        <v>30</v>
      </c>
      <c r="K90">
        <v>15</v>
      </c>
      <c r="L90">
        <v>15</v>
      </c>
      <c r="N90">
        <v>190</v>
      </c>
      <c r="O90" s="4">
        <f>(O89-1)</f>
        <v>74</v>
      </c>
      <c r="S90" s="2"/>
      <c r="T90" s="2"/>
    </row>
    <row r="91" spans="1:20" x14ac:dyDescent="0.3">
      <c r="A91" s="1">
        <v>44623</v>
      </c>
      <c r="B91">
        <v>6643</v>
      </c>
      <c r="C91">
        <v>3008</v>
      </c>
      <c r="D91" s="2">
        <v>2.4516129032258065</v>
      </c>
      <c r="E91">
        <v>651</v>
      </c>
      <c r="F91">
        <v>60</v>
      </c>
      <c r="G91">
        <v>23.959999084472699</v>
      </c>
      <c r="H91">
        <v>80</v>
      </c>
      <c r="I91">
        <v>170</v>
      </c>
      <c r="J91">
        <v>30</v>
      </c>
      <c r="K91">
        <v>15</v>
      </c>
      <c r="L91">
        <v>15</v>
      </c>
      <c r="N91">
        <v>80</v>
      </c>
      <c r="O91" s="4">
        <f t="shared" ref="O91:O102" si="7">(O90-1)</f>
        <v>73</v>
      </c>
      <c r="S91" s="2"/>
      <c r="T91" s="2"/>
    </row>
    <row r="92" spans="1:20" x14ac:dyDescent="0.3">
      <c r="A92" s="1">
        <v>44624</v>
      </c>
      <c r="B92">
        <v>9167</v>
      </c>
      <c r="C92">
        <v>2799</v>
      </c>
      <c r="D92" s="2">
        <v>5.354838709677419</v>
      </c>
      <c r="E92">
        <v>350</v>
      </c>
      <c r="F92">
        <v>42</v>
      </c>
      <c r="G92">
        <v>23.819999694824201</v>
      </c>
      <c r="H92">
        <v>80</v>
      </c>
      <c r="I92">
        <v>4</v>
      </c>
      <c r="J92">
        <v>0</v>
      </c>
      <c r="K92">
        <v>10</v>
      </c>
      <c r="L92">
        <v>10</v>
      </c>
      <c r="N92">
        <v>130</v>
      </c>
      <c r="O92" s="4">
        <f t="shared" si="7"/>
        <v>72</v>
      </c>
      <c r="S92" s="2"/>
      <c r="T92" s="2"/>
    </row>
    <row r="93" spans="1:20" x14ac:dyDescent="0.3">
      <c r="A93" s="1">
        <v>44625</v>
      </c>
      <c r="B93">
        <v>1329</v>
      </c>
      <c r="C93">
        <v>1276</v>
      </c>
      <c r="D93" s="2">
        <v>5.725806451612903</v>
      </c>
      <c r="E93">
        <v>520</v>
      </c>
      <c r="F93">
        <v>41</v>
      </c>
      <c r="G93">
        <v>24.100000381469702</v>
      </c>
      <c r="H93">
        <v>44</v>
      </c>
      <c r="I93">
        <v>4</v>
      </c>
      <c r="J93">
        <v>2</v>
      </c>
      <c r="K93">
        <v>10</v>
      </c>
      <c r="L93">
        <v>10</v>
      </c>
      <c r="N93">
        <v>70</v>
      </c>
      <c r="O93" s="4">
        <f t="shared" si="7"/>
        <v>71</v>
      </c>
      <c r="S93" s="2"/>
      <c r="T93" s="2"/>
    </row>
    <row r="94" spans="1:20" x14ac:dyDescent="0.3">
      <c r="A94" s="1">
        <v>44626</v>
      </c>
      <c r="B94">
        <v>6697</v>
      </c>
      <c r="C94">
        <v>2030</v>
      </c>
      <c r="D94" s="2">
        <v>3.7903225806451615</v>
      </c>
      <c r="E94">
        <v>357</v>
      </c>
      <c r="F94">
        <v>45</v>
      </c>
      <c r="G94">
        <v>24</v>
      </c>
      <c r="H94">
        <v>44</v>
      </c>
      <c r="I94">
        <v>2</v>
      </c>
      <c r="J94">
        <v>0</v>
      </c>
      <c r="K94">
        <v>10</v>
      </c>
      <c r="L94">
        <v>10</v>
      </c>
      <c r="N94">
        <v>130</v>
      </c>
      <c r="O94" s="4">
        <f t="shared" si="7"/>
        <v>70</v>
      </c>
      <c r="S94" s="2"/>
      <c r="T94" s="2"/>
    </row>
    <row r="95" spans="1:20" x14ac:dyDescent="0.3">
      <c r="A95" s="1">
        <v>44627</v>
      </c>
      <c r="B95">
        <v>4929</v>
      </c>
      <c r="C95">
        <v>1860</v>
      </c>
      <c r="D95" s="2">
        <v>5</v>
      </c>
      <c r="E95">
        <v>658</v>
      </c>
      <c r="F95">
        <v>48</v>
      </c>
      <c r="G95">
        <v>23.819999694824201</v>
      </c>
      <c r="H95">
        <v>72</v>
      </c>
      <c r="I95">
        <v>2</v>
      </c>
      <c r="J95">
        <v>2</v>
      </c>
      <c r="K95">
        <v>10</v>
      </c>
      <c r="L95">
        <v>10</v>
      </c>
      <c r="N95">
        <v>70</v>
      </c>
      <c r="O95" s="4">
        <f t="shared" si="7"/>
        <v>69</v>
      </c>
      <c r="S95" s="2"/>
      <c r="T95" s="2"/>
    </row>
    <row r="96" spans="1:20" x14ac:dyDescent="0.3">
      <c r="A96" s="1">
        <v>44628</v>
      </c>
      <c r="B96">
        <v>7937</v>
      </c>
      <c r="C96">
        <v>2130</v>
      </c>
      <c r="D96" s="2">
        <v>4.225806451612903</v>
      </c>
      <c r="E96">
        <v>399</v>
      </c>
      <c r="F96">
        <v>42</v>
      </c>
      <c r="G96">
        <v>25</v>
      </c>
      <c r="H96">
        <v>72</v>
      </c>
      <c r="I96">
        <v>2</v>
      </c>
      <c r="J96">
        <v>0</v>
      </c>
      <c r="K96">
        <v>10</v>
      </c>
      <c r="L96">
        <v>10</v>
      </c>
      <c r="N96">
        <v>180</v>
      </c>
      <c r="O96" s="4">
        <f t="shared" si="7"/>
        <v>68</v>
      </c>
      <c r="S96" s="2"/>
      <c r="T96" s="2"/>
    </row>
    <row r="97" spans="1:20" x14ac:dyDescent="0.3">
      <c r="A97" s="1">
        <v>44629</v>
      </c>
      <c r="B97">
        <v>3844</v>
      </c>
      <c r="C97">
        <v>1725</v>
      </c>
      <c r="D97" s="2">
        <v>4.032258064516129</v>
      </c>
      <c r="E97">
        <v>322</v>
      </c>
      <c r="F97">
        <v>66</v>
      </c>
      <c r="G97">
        <v>22</v>
      </c>
      <c r="H97">
        <v>72</v>
      </c>
      <c r="I97">
        <v>2</v>
      </c>
      <c r="J97">
        <v>2</v>
      </c>
      <c r="K97">
        <v>10</v>
      </c>
      <c r="L97">
        <v>10</v>
      </c>
      <c r="N97">
        <v>120</v>
      </c>
      <c r="O97" s="4">
        <f t="shared" si="7"/>
        <v>67</v>
      </c>
      <c r="S97" s="2"/>
      <c r="T97" s="2"/>
    </row>
    <row r="98" spans="1:20" x14ac:dyDescent="0.3">
      <c r="A98" s="1">
        <v>44630</v>
      </c>
      <c r="B98">
        <v>3414</v>
      </c>
      <c r="C98">
        <v>1657</v>
      </c>
      <c r="D98" s="2">
        <v>5.629032258064516</v>
      </c>
      <c r="E98">
        <v>631</v>
      </c>
      <c r="F98">
        <v>12</v>
      </c>
      <c r="G98">
        <v>23</v>
      </c>
      <c r="H98">
        <v>72</v>
      </c>
      <c r="I98">
        <v>0</v>
      </c>
      <c r="J98">
        <v>30</v>
      </c>
      <c r="K98">
        <v>0</v>
      </c>
      <c r="L98">
        <v>4</v>
      </c>
      <c r="N98">
        <v>100</v>
      </c>
      <c r="O98" s="4">
        <f t="shared" si="7"/>
        <v>66</v>
      </c>
      <c r="S98" s="2"/>
      <c r="T98" s="2"/>
    </row>
    <row r="99" spans="1:20" x14ac:dyDescent="0.3">
      <c r="A99" s="1">
        <v>44631</v>
      </c>
      <c r="B99">
        <v>4525</v>
      </c>
      <c r="C99">
        <v>1793</v>
      </c>
      <c r="D99" s="2">
        <v>4.209677419354839</v>
      </c>
      <c r="E99">
        <v>553</v>
      </c>
      <c r="F99">
        <v>18</v>
      </c>
      <c r="G99">
        <v>25.590000152587901</v>
      </c>
      <c r="H99">
        <v>68</v>
      </c>
      <c r="I99">
        <v>0</v>
      </c>
      <c r="J99">
        <v>45</v>
      </c>
      <c r="K99">
        <v>2</v>
      </c>
      <c r="L99">
        <v>4</v>
      </c>
      <c r="N99">
        <v>140</v>
      </c>
      <c r="O99" s="4">
        <f t="shared" si="7"/>
        <v>65</v>
      </c>
      <c r="S99" s="2"/>
      <c r="T99" s="2"/>
    </row>
    <row r="100" spans="1:20" x14ac:dyDescent="0.3">
      <c r="A100" s="1">
        <v>44632</v>
      </c>
      <c r="B100">
        <v>4597</v>
      </c>
      <c r="C100">
        <v>1814</v>
      </c>
      <c r="D100" s="2">
        <v>5.370967741935484</v>
      </c>
      <c r="E100" s="2">
        <v>271.33333333333331</v>
      </c>
      <c r="F100">
        <v>32</v>
      </c>
      <c r="G100">
        <v>25.530000686645501</v>
      </c>
      <c r="H100">
        <v>68</v>
      </c>
      <c r="I100">
        <v>0</v>
      </c>
      <c r="J100">
        <v>70</v>
      </c>
      <c r="K100">
        <v>2</v>
      </c>
      <c r="L100">
        <v>8</v>
      </c>
      <c r="N100">
        <v>220</v>
      </c>
      <c r="O100" s="4">
        <f t="shared" si="7"/>
        <v>64</v>
      </c>
      <c r="S100" s="2"/>
      <c r="T100" s="2"/>
    </row>
    <row r="101" spans="1:20" x14ac:dyDescent="0.3">
      <c r="A101" s="1">
        <v>44633</v>
      </c>
      <c r="B101">
        <v>197</v>
      </c>
      <c r="C101">
        <v>1366</v>
      </c>
      <c r="D101" s="2">
        <v>3.8225806451612905</v>
      </c>
      <c r="E101" s="2">
        <v>195.66666666666666</v>
      </c>
      <c r="F101">
        <v>62</v>
      </c>
      <c r="G101">
        <v>25.409999847412099</v>
      </c>
      <c r="H101">
        <v>100</v>
      </c>
      <c r="I101">
        <v>0</v>
      </c>
      <c r="J101">
        <v>15</v>
      </c>
      <c r="K101">
        <v>0</v>
      </c>
      <c r="L101">
        <v>2</v>
      </c>
      <c r="N101">
        <v>50</v>
      </c>
      <c r="O101" s="4">
        <f t="shared" si="7"/>
        <v>63</v>
      </c>
      <c r="S101" s="2"/>
      <c r="T101" s="2"/>
    </row>
    <row r="102" spans="1:20" x14ac:dyDescent="0.3">
      <c r="A102" s="1">
        <v>44634</v>
      </c>
      <c r="B102">
        <v>8</v>
      </c>
      <c r="C102">
        <v>1349</v>
      </c>
      <c r="D102" s="2">
        <v>6.17741935483871</v>
      </c>
      <c r="E102" s="2">
        <v>195.66666666666666</v>
      </c>
      <c r="F102">
        <v>26</v>
      </c>
      <c r="G102">
        <v>25.2600002288818</v>
      </c>
      <c r="H102">
        <v>76</v>
      </c>
      <c r="I102">
        <v>45</v>
      </c>
      <c r="J102">
        <v>25</v>
      </c>
      <c r="K102">
        <v>2</v>
      </c>
      <c r="L102">
        <v>4</v>
      </c>
      <c r="N102">
        <v>0</v>
      </c>
      <c r="O102" s="4">
        <f t="shared" si="7"/>
        <v>62</v>
      </c>
      <c r="S102" s="2"/>
      <c r="T102" s="2"/>
    </row>
    <row r="103" spans="1:20" x14ac:dyDescent="0.3">
      <c r="A103" s="1">
        <v>44635</v>
      </c>
      <c r="B103">
        <v>8054</v>
      </c>
      <c r="C103">
        <v>2062</v>
      </c>
      <c r="D103" s="2">
        <v>3.7096774193548385</v>
      </c>
      <c r="E103" s="2">
        <v>685.33333333333337</v>
      </c>
      <c r="F103">
        <v>34</v>
      </c>
      <c r="G103">
        <v>25.440000534057599</v>
      </c>
      <c r="H103">
        <v>80</v>
      </c>
      <c r="I103">
        <v>0</v>
      </c>
      <c r="J103">
        <v>160</v>
      </c>
      <c r="K103">
        <v>2</v>
      </c>
      <c r="L103">
        <v>0</v>
      </c>
      <c r="N103">
        <v>0</v>
      </c>
      <c r="O103" s="4">
        <v>90</v>
      </c>
      <c r="S103" s="2"/>
      <c r="T103" s="2"/>
    </row>
    <row r="104" spans="1:20" x14ac:dyDescent="0.3">
      <c r="A104" s="1">
        <v>44636</v>
      </c>
      <c r="B104">
        <v>5372</v>
      </c>
      <c r="C104">
        <v>1827</v>
      </c>
      <c r="D104" s="2">
        <v>4.709677419354839</v>
      </c>
      <c r="E104" s="2">
        <v>587</v>
      </c>
      <c r="F104">
        <v>35</v>
      </c>
      <c r="G104">
        <v>25.559999465942401</v>
      </c>
      <c r="H104">
        <v>44</v>
      </c>
      <c r="I104">
        <v>2</v>
      </c>
      <c r="J104">
        <v>15</v>
      </c>
      <c r="K104">
        <v>10</v>
      </c>
      <c r="L104">
        <v>4</v>
      </c>
      <c r="N104">
        <v>20</v>
      </c>
      <c r="O104" s="4">
        <v>91</v>
      </c>
      <c r="S104" s="2"/>
      <c r="T104" s="2"/>
    </row>
    <row r="105" spans="1:20" x14ac:dyDescent="0.3">
      <c r="A105" s="1">
        <v>44637</v>
      </c>
      <c r="B105">
        <v>3570</v>
      </c>
      <c r="C105">
        <v>1645</v>
      </c>
      <c r="D105" s="2">
        <v>3.435483870967742</v>
      </c>
      <c r="E105" s="2">
        <v>118.33333333333333</v>
      </c>
      <c r="F105">
        <v>36</v>
      </c>
      <c r="G105">
        <v>25.610000610351602</v>
      </c>
      <c r="H105">
        <v>80</v>
      </c>
      <c r="I105">
        <v>4</v>
      </c>
      <c r="J105">
        <v>25</v>
      </c>
      <c r="K105">
        <v>2</v>
      </c>
      <c r="L105">
        <v>6</v>
      </c>
      <c r="N105">
        <v>110</v>
      </c>
      <c r="O105" s="4">
        <v>92</v>
      </c>
      <c r="S105" s="2"/>
      <c r="T105" s="2"/>
    </row>
    <row r="106" spans="1:20" x14ac:dyDescent="0.3">
      <c r="A106" s="1">
        <v>44638</v>
      </c>
      <c r="B106">
        <v>0</v>
      </c>
      <c r="C106">
        <v>1347</v>
      </c>
      <c r="D106" s="2">
        <v>5.129032258064516</v>
      </c>
      <c r="E106" s="2">
        <v>214.66666666666666</v>
      </c>
      <c r="F106">
        <v>40</v>
      </c>
      <c r="G106">
        <v>25.559999465942401</v>
      </c>
      <c r="H106">
        <v>84</v>
      </c>
      <c r="I106">
        <v>2</v>
      </c>
      <c r="J106">
        <v>0</v>
      </c>
      <c r="K106">
        <v>2</v>
      </c>
      <c r="L106">
        <v>8</v>
      </c>
      <c r="N106">
        <v>70</v>
      </c>
      <c r="O106" s="4">
        <v>70</v>
      </c>
      <c r="S106" s="2"/>
      <c r="T106" s="2"/>
    </row>
    <row r="107" spans="1:20" x14ac:dyDescent="0.3">
      <c r="A107" s="1">
        <v>44639</v>
      </c>
      <c r="B107">
        <v>0</v>
      </c>
      <c r="C107">
        <v>1347</v>
      </c>
      <c r="D107" s="2">
        <v>5.209677419354839</v>
      </c>
      <c r="E107" s="2">
        <v>214.66666666666666</v>
      </c>
      <c r="F107">
        <v>33</v>
      </c>
      <c r="G107">
        <v>25.139999389648398</v>
      </c>
      <c r="H107">
        <v>120</v>
      </c>
      <c r="I107">
        <v>2</v>
      </c>
      <c r="J107">
        <v>0</v>
      </c>
      <c r="K107">
        <v>2</v>
      </c>
      <c r="L107">
        <v>6</v>
      </c>
      <c r="N107">
        <v>50</v>
      </c>
      <c r="O107" s="4">
        <v>71</v>
      </c>
      <c r="S107" s="2"/>
      <c r="T107" s="2"/>
    </row>
    <row r="108" spans="1:20" x14ac:dyDescent="0.3">
      <c r="A108" s="1">
        <v>44640</v>
      </c>
      <c r="B108">
        <v>0</v>
      </c>
      <c r="C108">
        <v>1347</v>
      </c>
      <c r="D108" s="2">
        <v>3.8225806451612905</v>
      </c>
      <c r="E108" s="2">
        <v>214.66666666666666</v>
      </c>
      <c r="F108">
        <v>13</v>
      </c>
      <c r="G108">
        <f>(G107+1)</f>
        <v>26.139999389648398</v>
      </c>
      <c r="H108">
        <v>120</v>
      </c>
      <c r="I108">
        <v>2</v>
      </c>
      <c r="J108">
        <v>0</v>
      </c>
      <c r="K108">
        <v>4</v>
      </c>
      <c r="L108">
        <v>0</v>
      </c>
      <c r="N108">
        <v>10</v>
      </c>
      <c r="O108" s="4">
        <v>72</v>
      </c>
      <c r="S108" s="2"/>
      <c r="T108" s="2"/>
    </row>
    <row r="109" spans="1:20" x14ac:dyDescent="0.3">
      <c r="A109" s="1">
        <v>44641</v>
      </c>
      <c r="B109">
        <v>4</v>
      </c>
      <c r="C109">
        <v>1348</v>
      </c>
      <c r="D109" s="2">
        <v>4.17741935483871</v>
      </c>
      <c r="E109" s="2">
        <v>214.66666666666666</v>
      </c>
      <c r="F109">
        <v>51</v>
      </c>
      <c r="G109">
        <f t="shared" ref="G109:G112" si="8">(G108+1)</f>
        <v>27.139999389648398</v>
      </c>
      <c r="H109">
        <v>132</v>
      </c>
      <c r="I109">
        <v>8</v>
      </c>
      <c r="J109">
        <v>0</v>
      </c>
      <c r="K109">
        <v>25</v>
      </c>
      <c r="L109">
        <v>8</v>
      </c>
      <c r="N109">
        <v>80</v>
      </c>
      <c r="O109" s="4">
        <v>73</v>
      </c>
      <c r="S109" s="2"/>
      <c r="T109" s="2"/>
    </row>
    <row r="110" spans="1:20" x14ac:dyDescent="0.3">
      <c r="A110" s="1">
        <v>44642</v>
      </c>
      <c r="B110">
        <v>6907</v>
      </c>
      <c r="C110">
        <v>1992</v>
      </c>
      <c r="D110" s="2">
        <v>5.032258064516129</v>
      </c>
      <c r="E110" s="2">
        <v>459</v>
      </c>
      <c r="F110">
        <v>31</v>
      </c>
      <c r="G110">
        <f t="shared" si="8"/>
        <v>28.139999389648398</v>
      </c>
      <c r="H110">
        <v>112</v>
      </c>
      <c r="I110">
        <v>10</v>
      </c>
      <c r="J110">
        <v>0</v>
      </c>
      <c r="K110">
        <v>25</v>
      </c>
      <c r="L110">
        <v>0</v>
      </c>
      <c r="N110">
        <v>70</v>
      </c>
      <c r="O110" s="4">
        <v>74</v>
      </c>
      <c r="S110" s="2"/>
      <c r="T110" s="2"/>
    </row>
    <row r="111" spans="1:20" x14ac:dyDescent="0.3">
      <c r="A111" s="1">
        <v>44643</v>
      </c>
      <c r="B111">
        <v>4920</v>
      </c>
      <c r="C111">
        <v>1856</v>
      </c>
      <c r="D111" s="2">
        <v>8.0806451612903221</v>
      </c>
      <c r="E111" s="2">
        <v>304.66666666666669</v>
      </c>
      <c r="F111">
        <v>43</v>
      </c>
      <c r="G111">
        <v>24.209999084472699</v>
      </c>
      <c r="H111">
        <v>112</v>
      </c>
      <c r="I111">
        <v>8</v>
      </c>
      <c r="J111">
        <v>4</v>
      </c>
      <c r="K111">
        <v>20</v>
      </c>
      <c r="L111">
        <v>0</v>
      </c>
      <c r="N111">
        <v>60</v>
      </c>
      <c r="O111" s="4">
        <v>75</v>
      </c>
      <c r="S111" s="2"/>
      <c r="T111" s="2"/>
    </row>
    <row r="112" spans="1:20" x14ac:dyDescent="0.3">
      <c r="A112" s="1">
        <v>44644</v>
      </c>
      <c r="B112">
        <v>4014</v>
      </c>
      <c r="C112">
        <v>1763</v>
      </c>
      <c r="D112" s="2">
        <v>1.2419354838709677</v>
      </c>
      <c r="E112" s="2">
        <v>289.33333333333331</v>
      </c>
      <c r="F112">
        <v>23</v>
      </c>
      <c r="G112">
        <v>23.959999084472699</v>
      </c>
      <c r="H112">
        <v>104</v>
      </c>
      <c r="I112">
        <v>0</v>
      </c>
      <c r="J112">
        <v>0</v>
      </c>
      <c r="K112">
        <v>0</v>
      </c>
      <c r="L112">
        <v>0</v>
      </c>
      <c r="N112">
        <v>0</v>
      </c>
      <c r="O112" s="4">
        <v>76</v>
      </c>
      <c r="S112" s="2"/>
      <c r="T112" s="2"/>
    </row>
    <row r="113" spans="1:20" x14ac:dyDescent="0.3">
      <c r="A113" s="1">
        <v>44645</v>
      </c>
      <c r="B113">
        <v>2573</v>
      </c>
      <c r="C113">
        <v>1541</v>
      </c>
      <c r="D113" s="2">
        <v>5.193548387096774</v>
      </c>
      <c r="E113" s="2">
        <v>195.66666666666666</v>
      </c>
      <c r="F113">
        <v>59</v>
      </c>
      <c r="G113">
        <v>24</v>
      </c>
      <c r="H113">
        <v>104</v>
      </c>
      <c r="I113">
        <v>0</v>
      </c>
      <c r="J113">
        <v>0</v>
      </c>
      <c r="K113">
        <v>0</v>
      </c>
      <c r="L113">
        <v>0</v>
      </c>
      <c r="N113">
        <v>0</v>
      </c>
      <c r="O113" s="4">
        <v>77</v>
      </c>
      <c r="S113" s="2"/>
      <c r="T113" s="2"/>
    </row>
    <row r="114" spans="1:20" x14ac:dyDescent="0.3">
      <c r="A114" s="1">
        <v>44646</v>
      </c>
      <c r="B114">
        <v>0</v>
      </c>
      <c r="C114">
        <v>1348</v>
      </c>
      <c r="D114" s="2">
        <v>7.709677419354839</v>
      </c>
      <c r="E114" s="2">
        <v>303.33333333333331</v>
      </c>
      <c r="F114">
        <v>39</v>
      </c>
      <c r="G114">
        <v>24.100000381469702</v>
      </c>
      <c r="H114">
        <v>104</v>
      </c>
      <c r="I114">
        <v>0</v>
      </c>
      <c r="J114">
        <v>0</v>
      </c>
      <c r="K114">
        <v>0</v>
      </c>
      <c r="L114">
        <v>0</v>
      </c>
      <c r="N114">
        <v>0</v>
      </c>
      <c r="O114" s="4">
        <v>78</v>
      </c>
      <c r="S114" s="2"/>
      <c r="T114" s="2"/>
    </row>
    <row r="115" spans="1:20" x14ac:dyDescent="0.3">
      <c r="A115" s="1">
        <v>44647</v>
      </c>
      <c r="B115">
        <v>4059</v>
      </c>
      <c r="C115">
        <v>1742</v>
      </c>
      <c r="D115" s="2">
        <v>3.6451612903225805</v>
      </c>
      <c r="E115" s="2">
        <v>429.33333333333331</v>
      </c>
      <c r="F115">
        <v>29</v>
      </c>
      <c r="G115">
        <v>23.889999389648398</v>
      </c>
      <c r="H115">
        <v>104</v>
      </c>
      <c r="I115">
        <v>0</v>
      </c>
      <c r="J115">
        <v>0</v>
      </c>
      <c r="K115">
        <v>0</v>
      </c>
      <c r="L115">
        <v>0</v>
      </c>
      <c r="N115">
        <v>0</v>
      </c>
      <c r="O115" s="4">
        <v>79</v>
      </c>
      <c r="S115" s="2"/>
      <c r="T115" s="2"/>
    </row>
    <row r="116" spans="1:20" x14ac:dyDescent="0.3">
      <c r="A116" s="1">
        <v>44648</v>
      </c>
      <c r="B116">
        <v>2080</v>
      </c>
      <c r="C116">
        <v>1549</v>
      </c>
      <c r="D116" s="2">
        <v>6.209677419354839</v>
      </c>
      <c r="E116" s="2">
        <v>304.66666666666669</v>
      </c>
      <c r="F116">
        <v>25</v>
      </c>
      <c r="G116">
        <v>23.889999389648398</v>
      </c>
      <c r="H116">
        <v>144</v>
      </c>
      <c r="I116">
        <v>0</v>
      </c>
      <c r="J116">
        <v>0</v>
      </c>
      <c r="K116">
        <v>0</v>
      </c>
      <c r="L116">
        <v>0</v>
      </c>
      <c r="N116">
        <v>0</v>
      </c>
      <c r="O116" s="4">
        <v>80</v>
      </c>
      <c r="S116" s="2"/>
      <c r="T116" s="2"/>
    </row>
    <row r="117" spans="1:20" x14ac:dyDescent="0.3">
      <c r="A117" s="1">
        <v>44649</v>
      </c>
      <c r="B117">
        <v>2237</v>
      </c>
      <c r="C117">
        <v>1589</v>
      </c>
      <c r="D117" s="2">
        <v>5.870967741935484</v>
      </c>
      <c r="E117" s="2">
        <v>192</v>
      </c>
      <c r="F117">
        <v>38</v>
      </c>
      <c r="G117">
        <v>23.959999084472699</v>
      </c>
      <c r="H117">
        <v>144</v>
      </c>
      <c r="I117">
        <v>0</v>
      </c>
      <c r="J117">
        <v>0</v>
      </c>
      <c r="K117">
        <v>0</v>
      </c>
      <c r="L117">
        <v>0</v>
      </c>
      <c r="N117">
        <v>0</v>
      </c>
      <c r="O117" s="4">
        <v>81</v>
      </c>
      <c r="S117" s="2"/>
      <c r="T117" s="2"/>
    </row>
    <row r="118" spans="1:20" x14ac:dyDescent="0.3">
      <c r="A118" s="1">
        <v>44650</v>
      </c>
      <c r="B118">
        <v>44</v>
      </c>
      <c r="C118">
        <v>1351</v>
      </c>
      <c r="D118" s="2">
        <v>7.129032258064516</v>
      </c>
      <c r="E118" s="2">
        <v>483.66666666666669</v>
      </c>
      <c r="F118">
        <v>32</v>
      </c>
      <c r="G118">
        <v>23.819999694824201</v>
      </c>
      <c r="H118">
        <v>140</v>
      </c>
      <c r="I118">
        <v>0</v>
      </c>
      <c r="J118">
        <v>0</v>
      </c>
      <c r="K118">
        <v>0</v>
      </c>
      <c r="L118">
        <v>0</v>
      </c>
      <c r="N118">
        <v>0</v>
      </c>
      <c r="O118" s="4">
        <v>82</v>
      </c>
      <c r="S118" s="2"/>
      <c r="T118" s="2"/>
    </row>
    <row r="119" spans="1:20" x14ac:dyDescent="0.3">
      <c r="A119" s="1">
        <v>44651</v>
      </c>
      <c r="B119">
        <v>0</v>
      </c>
      <c r="C119">
        <v>1347</v>
      </c>
      <c r="D119" s="2">
        <v>8.629032258064516</v>
      </c>
      <c r="E119" s="2">
        <v>192</v>
      </c>
      <c r="F119">
        <v>25</v>
      </c>
      <c r="G119">
        <v>24.100000381469702</v>
      </c>
      <c r="H119">
        <v>140</v>
      </c>
      <c r="I119">
        <v>0</v>
      </c>
      <c r="J119">
        <v>0</v>
      </c>
      <c r="K119">
        <v>0</v>
      </c>
      <c r="L119">
        <v>0</v>
      </c>
      <c r="N119">
        <v>0</v>
      </c>
      <c r="O119" s="4">
        <v>83</v>
      </c>
      <c r="S119" s="2"/>
      <c r="T119" s="2"/>
    </row>
    <row r="120" spans="1:20" x14ac:dyDescent="0.3">
      <c r="A120" s="1">
        <v>44652</v>
      </c>
      <c r="B120">
        <v>0</v>
      </c>
      <c r="C120">
        <v>1347</v>
      </c>
      <c r="D120" s="2">
        <v>7.5</v>
      </c>
      <c r="E120" s="2">
        <v>118.33333333333333</v>
      </c>
      <c r="F120">
        <v>49</v>
      </c>
      <c r="G120">
        <v>24</v>
      </c>
      <c r="H120">
        <v>32</v>
      </c>
      <c r="I120">
        <v>0</v>
      </c>
      <c r="J120">
        <v>0</v>
      </c>
      <c r="K120">
        <v>0</v>
      </c>
      <c r="L120">
        <v>0</v>
      </c>
      <c r="N120">
        <v>0</v>
      </c>
      <c r="O120" s="4">
        <v>84</v>
      </c>
      <c r="S120" s="2"/>
      <c r="T120" s="2"/>
    </row>
    <row r="121" spans="1:20" x14ac:dyDescent="0.3">
      <c r="A121" s="1">
        <v>44653</v>
      </c>
      <c r="B121">
        <v>0</v>
      </c>
      <c r="C121">
        <v>1347</v>
      </c>
      <c r="D121" s="2">
        <v>8.1612903225806459</v>
      </c>
      <c r="E121" s="2">
        <v>214.66666666666666</v>
      </c>
      <c r="F121">
        <v>28</v>
      </c>
      <c r="G121">
        <v>23.819999694824201</v>
      </c>
      <c r="H121">
        <v>60</v>
      </c>
      <c r="I121">
        <v>0</v>
      </c>
      <c r="J121">
        <v>0</v>
      </c>
      <c r="K121">
        <v>0</v>
      </c>
      <c r="L121">
        <v>0</v>
      </c>
      <c r="N121">
        <v>0</v>
      </c>
      <c r="O121" s="4">
        <v>32</v>
      </c>
      <c r="S121" s="2"/>
      <c r="T121" s="2"/>
    </row>
    <row r="122" spans="1:20" x14ac:dyDescent="0.3">
      <c r="A122" s="1">
        <v>44654</v>
      </c>
      <c r="B122">
        <v>0</v>
      </c>
      <c r="C122">
        <v>1347</v>
      </c>
      <c r="D122" s="2">
        <v>8.306451612903226</v>
      </c>
      <c r="E122" s="2">
        <v>289.33333333333331</v>
      </c>
      <c r="F122">
        <v>47</v>
      </c>
      <c r="G122">
        <v>23.850000381469702</v>
      </c>
      <c r="H122">
        <v>48</v>
      </c>
      <c r="I122">
        <v>0</v>
      </c>
      <c r="J122">
        <v>0</v>
      </c>
      <c r="K122">
        <v>0</v>
      </c>
      <c r="L122">
        <v>0</v>
      </c>
      <c r="N122">
        <v>0</v>
      </c>
      <c r="O122" s="4">
        <v>30</v>
      </c>
      <c r="S122" s="2"/>
      <c r="T122" s="2"/>
    </row>
    <row r="123" spans="1:20" x14ac:dyDescent="0.3">
      <c r="A123" s="1">
        <v>44655</v>
      </c>
      <c r="B123">
        <v>0</v>
      </c>
      <c r="C123">
        <v>1347</v>
      </c>
      <c r="D123" s="2">
        <v>7.435483870967742</v>
      </c>
      <c r="E123" s="2">
        <v>377</v>
      </c>
      <c r="F123">
        <v>27</v>
      </c>
      <c r="G123">
        <v>23.889999389648398</v>
      </c>
      <c r="H123">
        <v>4</v>
      </c>
      <c r="I123">
        <v>0</v>
      </c>
      <c r="J123">
        <v>0</v>
      </c>
      <c r="K123">
        <v>0</v>
      </c>
      <c r="L123">
        <v>0</v>
      </c>
      <c r="N123">
        <v>0</v>
      </c>
      <c r="O123" s="4">
        <v>31</v>
      </c>
      <c r="S123" s="2"/>
      <c r="T123" s="2"/>
    </row>
    <row r="124" spans="1:20" x14ac:dyDescent="0.3">
      <c r="A124" s="1">
        <v>44656</v>
      </c>
      <c r="B124">
        <v>0</v>
      </c>
      <c r="C124">
        <v>665</v>
      </c>
      <c r="D124" s="2">
        <v>8.435483870967742</v>
      </c>
      <c r="E124" s="2">
        <v>289.33333333333331</v>
      </c>
      <c r="F124">
        <v>51</v>
      </c>
      <c r="G124">
        <v>23.889999389648398</v>
      </c>
      <c r="H124">
        <v>24</v>
      </c>
      <c r="I124">
        <v>0</v>
      </c>
      <c r="J124">
        <v>0</v>
      </c>
      <c r="K124">
        <v>0</v>
      </c>
      <c r="L124">
        <v>0</v>
      </c>
      <c r="N124">
        <v>0</v>
      </c>
      <c r="O124" s="4">
        <v>32</v>
      </c>
      <c r="S124" s="2"/>
      <c r="T124" s="2"/>
    </row>
    <row r="125" spans="1:20" x14ac:dyDescent="0.3">
      <c r="A125" s="1">
        <v>44657</v>
      </c>
      <c r="B125">
        <v>678</v>
      </c>
      <c r="C125">
        <v>2220</v>
      </c>
      <c r="D125" s="2">
        <v>0.95161290322580649</v>
      </c>
      <c r="E125" s="2">
        <v>289.33333333333331</v>
      </c>
      <c r="F125">
        <v>31</v>
      </c>
      <c r="G125">
        <v>24.2399997711182</v>
      </c>
      <c r="H125">
        <v>20</v>
      </c>
      <c r="I125">
        <v>0</v>
      </c>
      <c r="J125">
        <v>0</v>
      </c>
      <c r="K125">
        <v>0</v>
      </c>
      <c r="L125">
        <v>0</v>
      </c>
      <c r="N125">
        <v>0</v>
      </c>
      <c r="O125" s="4">
        <v>33</v>
      </c>
      <c r="S125" s="2"/>
      <c r="T125" s="2"/>
    </row>
    <row r="126" spans="1:20" x14ac:dyDescent="0.3">
      <c r="A126" s="1">
        <v>44658</v>
      </c>
      <c r="B126">
        <v>356</v>
      </c>
      <c r="C126">
        <v>2151</v>
      </c>
      <c r="D126" s="2">
        <v>8.5967741935483879</v>
      </c>
      <c r="E126" s="2">
        <v>547.66666666666663</v>
      </c>
      <c r="F126">
        <v>35</v>
      </c>
      <c r="G126">
        <v>24.170000076293899</v>
      </c>
      <c r="H126">
        <v>20</v>
      </c>
      <c r="I126">
        <v>0</v>
      </c>
      <c r="J126">
        <v>0</v>
      </c>
      <c r="K126">
        <v>0</v>
      </c>
      <c r="L126">
        <v>0</v>
      </c>
      <c r="N126">
        <v>0</v>
      </c>
      <c r="O126" s="4">
        <v>34</v>
      </c>
      <c r="S126" s="2"/>
      <c r="T126" s="2"/>
    </row>
    <row r="127" spans="1:20" x14ac:dyDescent="0.3">
      <c r="A127" s="1">
        <v>44659</v>
      </c>
      <c r="B127">
        <v>2163</v>
      </c>
      <c r="C127">
        <v>2383</v>
      </c>
      <c r="D127" s="2">
        <v>11.161290322580646</v>
      </c>
      <c r="E127" s="2">
        <v>462.33333333333331</v>
      </c>
      <c r="F127">
        <v>42</v>
      </c>
      <c r="G127">
        <v>24.170000076293899</v>
      </c>
      <c r="H127">
        <v>96</v>
      </c>
      <c r="I127">
        <v>0</v>
      </c>
      <c r="J127">
        <v>0</v>
      </c>
      <c r="K127">
        <v>0</v>
      </c>
      <c r="L127">
        <v>0</v>
      </c>
      <c r="N127">
        <v>0</v>
      </c>
      <c r="O127" s="4">
        <v>35</v>
      </c>
      <c r="S127" s="2"/>
      <c r="T127" s="2"/>
    </row>
    <row r="128" spans="1:20" x14ac:dyDescent="0.3">
      <c r="A128" s="1">
        <v>44660</v>
      </c>
      <c r="B128">
        <v>980</v>
      </c>
      <c r="C128">
        <v>2221</v>
      </c>
      <c r="D128" s="2">
        <v>7.532258064516129</v>
      </c>
      <c r="E128" s="2">
        <v>301</v>
      </c>
      <c r="F128">
        <v>46</v>
      </c>
      <c r="G128">
        <f>(G71+1.35)</f>
        <v>26.800000381469705</v>
      </c>
      <c r="H128">
        <v>120</v>
      </c>
      <c r="I128">
        <v>0</v>
      </c>
      <c r="J128">
        <v>0</v>
      </c>
      <c r="K128">
        <v>0</v>
      </c>
      <c r="L128">
        <v>0</v>
      </c>
      <c r="N128">
        <v>0</v>
      </c>
      <c r="O128" s="4">
        <v>36</v>
      </c>
      <c r="S128" s="2"/>
      <c r="T128" s="2"/>
    </row>
    <row r="129" spans="1:20" x14ac:dyDescent="0.3">
      <c r="A129" s="1">
        <v>44661</v>
      </c>
      <c r="B129">
        <v>0</v>
      </c>
      <c r="C129">
        <v>2064</v>
      </c>
      <c r="D129" s="2">
        <v>7.870967741935484</v>
      </c>
      <c r="E129" s="2">
        <v>289.33333333333331</v>
      </c>
      <c r="F129">
        <v>65</v>
      </c>
      <c r="G129">
        <f t="shared" ref="G129:G136" si="9">(G72+1.35)</f>
        <v>26.589999389648401</v>
      </c>
      <c r="H129">
        <v>148</v>
      </c>
      <c r="I129">
        <v>0</v>
      </c>
      <c r="J129">
        <v>0</v>
      </c>
      <c r="K129">
        <v>0</v>
      </c>
      <c r="L129">
        <v>0</v>
      </c>
      <c r="N129">
        <v>0</v>
      </c>
      <c r="O129" s="4">
        <v>37</v>
      </c>
      <c r="S129" s="2"/>
      <c r="T129" s="2"/>
    </row>
    <row r="130" spans="1:20" x14ac:dyDescent="0.3">
      <c r="A130" s="1">
        <v>44662</v>
      </c>
      <c r="B130">
        <v>0</v>
      </c>
      <c r="C130">
        <v>2063</v>
      </c>
      <c r="D130" s="2">
        <v>8.1451612903225801</v>
      </c>
      <c r="E130" s="2">
        <v>214.66666666666666</v>
      </c>
      <c r="F130">
        <v>68</v>
      </c>
      <c r="G130">
        <f t="shared" si="9"/>
        <v>26.589999389648401</v>
      </c>
      <c r="H130">
        <v>148</v>
      </c>
      <c r="I130">
        <v>0</v>
      </c>
      <c r="J130">
        <v>0</v>
      </c>
      <c r="K130">
        <v>0</v>
      </c>
      <c r="L130">
        <v>0</v>
      </c>
      <c r="N130">
        <v>0</v>
      </c>
      <c r="O130" s="4">
        <v>70</v>
      </c>
      <c r="S130" s="2"/>
      <c r="T130" s="2"/>
    </row>
    <row r="131" spans="1:20" x14ac:dyDescent="0.3">
      <c r="A131" s="1">
        <v>44663</v>
      </c>
      <c r="B131">
        <v>244</v>
      </c>
      <c r="C131">
        <v>2111</v>
      </c>
      <c r="D131" s="2">
        <v>4.612903225806452</v>
      </c>
      <c r="E131" s="2">
        <v>195.66666666666666</v>
      </c>
      <c r="F131">
        <v>56</v>
      </c>
      <c r="G131">
        <f t="shared" si="9"/>
        <v>26.659999084472702</v>
      </c>
      <c r="H131">
        <v>116</v>
      </c>
      <c r="I131">
        <v>0</v>
      </c>
      <c r="J131">
        <v>0</v>
      </c>
      <c r="K131">
        <v>0</v>
      </c>
      <c r="L131">
        <v>0</v>
      </c>
      <c r="N131">
        <v>0</v>
      </c>
      <c r="O131" s="4">
        <v>71</v>
      </c>
      <c r="S131" s="2"/>
      <c r="T131" s="2"/>
    </row>
    <row r="132" spans="1:20" x14ac:dyDescent="0.3">
      <c r="A132" s="1">
        <v>44664</v>
      </c>
      <c r="B132">
        <v>0</v>
      </c>
      <c r="C132">
        <v>2063</v>
      </c>
      <c r="D132" s="2">
        <v>8.0161290322580641</v>
      </c>
      <c r="E132" s="2">
        <v>225.33333333333334</v>
      </c>
      <c r="F132">
        <v>59</v>
      </c>
      <c r="G132">
        <f t="shared" si="9"/>
        <v>26.519999694824204</v>
      </c>
      <c r="H132" s="3">
        <v>93</v>
      </c>
      <c r="I132">
        <v>10</v>
      </c>
      <c r="J132">
        <v>4</v>
      </c>
      <c r="K132">
        <v>30</v>
      </c>
      <c r="L132">
        <v>0</v>
      </c>
      <c r="N132">
        <v>20</v>
      </c>
      <c r="O132" s="4">
        <v>72</v>
      </c>
      <c r="S132" s="2"/>
      <c r="T132" s="2"/>
    </row>
    <row r="133" spans="1:20" x14ac:dyDescent="0.3">
      <c r="A133" s="1">
        <v>44665</v>
      </c>
      <c r="B133">
        <v>0</v>
      </c>
      <c r="C133">
        <v>2063</v>
      </c>
      <c r="D133" s="2">
        <v>8.435483870967742</v>
      </c>
      <c r="E133" s="2">
        <v>685.33333333333337</v>
      </c>
      <c r="F133">
        <v>62</v>
      </c>
      <c r="G133">
        <f t="shared" si="9"/>
        <v>28.800000762939501</v>
      </c>
      <c r="H133" s="3">
        <v>93</v>
      </c>
      <c r="I133">
        <v>10</v>
      </c>
      <c r="J133">
        <v>0</v>
      </c>
      <c r="K133">
        <v>30</v>
      </c>
      <c r="L133">
        <v>8</v>
      </c>
      <c r="N133">
        <v>0</v>
      </c>
      <c r="O133" s="4">
        <v>73</v>
      </c>
      <c r="S133" s="2"/>
      <c r="T133" s="2"/>
    </row>
    <row r="134" spans="1:20" x14ac:dyDescent="0.3">
      <c r="A134" s="1">
        <v>44666</v>
      </c>
      <c r="B134">
        <v>0</v>
      </c>
      <c r="C134">
        <v>2064</v>
      </c>
      <c r="D134" s="2">
        <v>7.903225806451613</v>
      </c>
      <c r="E134" s="2">
        <v>587</v>
      </c>
      <c r="F134">
        <v>65</v>
      </c>
      <c r="G134">
        <f t="shared" si="9"/>
        <v>28.729999160766603</v>
      </c>
      <c r="H134" s="3">
        <v>89</v>
      </c>
      <c r="I134">
        <v>0</v>
      </c>
      <c r="J134">
        <v>100</v>
      </c>
      <c r="K134">
        <v>10</v>
      </c>
      <c r="L134">
        <v>0</v>
      </c>
      <c r="N134">
        <v>0</v>
      </c>
      <c r="O134" s="4">
        <v>74</v>
      </c>
      <c r="S134" s="2"/>
      <c r="T134" s="2"/>
    </row>
    <row r="135" spans="1:20" x14ac:dyDescent="0.3">
      <c r="A135" s="1">
        <v>44667</v>
      </c>
      <c r="B135">
        <v>149</v>
      </c>
      <c r="C135">
        <v>2093</v>
      </c>
      <c r="D135" s="2">
        <v>7.806451612903226</v>
      </c>
      <c r="E135" s="2">
        <v>118.33333333333333</v>
      </c>
      <c r="F135">
        <v>71</v>
      </c>
      <c r="G135">
        <f t="shared" si="9"/>
        <v>28.6</v>
      </c>
      <c r="H135" s="3">
        <v>89</v>
      </c>
      <c r="I135">
        <v>0</v>
      </c>
      <c r="J135">
        <v>130</v>
      </c>
      <c r="K135">
        <v>2</v>
      </c>
      <c r="L135">
        <v>0</v>
      </c>
      <c r="N135">
        <v>0</v>
      </c>
      <c r="O135" s="4">
        <v>75</v>
      </c>
      <c r="S135" s="2"/>
      <c r="T135" s="2"/>
    </row>
    <row r="136" spans="1:20" x14ac:dyDescent="0.3">
      <c r="A136" s="1">
        <v>44668</v>
      </c>
      <c r="B136">
        <v>2945</v>
      </c>
      <c r="C136">
        <v>2499</v>
      </c>
      <c r="D136" s="2">
        <v>7.709677419354839</v>
      </c>
      <c r="E136" s="2">
        <v>192</v>
      </c>
      <c r="F136">
        <v>74</v>
      </c>
      <c r="G136">
        <f t="shared" si="9"/>
        <v>28.8099990844727</v>
      </c>
      <c r="H136" s="3">
        <v>86</v>
      </c>
      <c r="I136">
        <v>0</v>
      </c>
      <c r="J136">
        <v>160</v>
      </c>
      <c r="K136">
        <v>4</v>
      </c>
      <c r="L136">
        <v>0</v>
      </c>
      <c r="N136">
        <v>0</v>
      </c>
      <c r="O136" s="4">
        <v>76</v>
      </c>
      <c r="S136" s="2"/>
      <c r="T136" s="2"/>
    </row>
    <row r="137" spans="1:20" x14ac:dyDescent="0.3">
      <c r="A137" s="1">
        <v>44669</v>
      </c>
      <c r="B137">
        <v>2090</v>
      </c>
      <c r="C137">
        <v>2324</v>
      </c>
      <c r="D137" s="2">
        <v>7.645161290322581</v>
      </c>
      <c r="E137" s="2">
        <v>304.66666666666669</v>
      </c>
      <c r="F137">
        <v>62</v>
      </c>
      <c r="G137">
        <v>27.450000762939499</v>
      </c>
      <c r="H137" s="3">
        <v>90</v>
      </c>
      <c r="I137">
        <v>0</v>
      </c>
      <c r="J137">
        <v>240</v>
      </c>
      <c r="K137">
        <v>4</v>
      </c>
      <c r="L137">
        <v>0</v>
      </c>
      <c r="N137">
        <v>0</v>
      </c>
      <c r="O137" s="4">
        <v>77</v>
      </c>
      <c r="S137" s="2"/>
      <c r="T137" s="2"/>
    </row>
    <row r="138" spans="1:20" x14ac:dyDescent="0.3">
      <c r="A138" s="1">
        <v>44670</v>
      </c>
      <c r="B138">
        <v>152</v>
      </c>
      <c r="C138">
        <v>2100</v>
      </c>
      <c r="D138" s="2">
        <v>7.258064516129032</v>
      </c>
      <c r="E138" s="2">
        <v>118.33333333333333</v>
      </c>
      <c r="F138">
        <v>65</v>
      </c>
      <c r="G138">
        <v>27.379999160766602</v>
      </c>
      <c r="H138" s="3">
        <v>89</v>
      </c>
      <c r="I138">
        <v>0</v>
      </c>
      <c r="J138">
        <v>0</v>
      </c>
      <c r="K138">
        <v>0</v>
      </c>
      <c r="L138">
        <v>0</v>
      </c>
      <c r="N138">
        <v>0</v>
      </c>
      <c r="O138" s="4">
        <v>78</v>
      </c>
      <c r="S138" s="2"/>
      <c r="T138" s="2"/>
    </row>
    <row r="139" spans="1:20" x14ac:dyDescent="0.3">
      <c r="A139" s="1">
        <v>44671</v>
      </c>
      <c r="B139">
        <v>3761</v>
      </c>
      <c r="C139">
        <v>2638</v>
      </c>
      <c r="D139" s="2">
        <v>8.17741935483871</v>
      </c>
      <c r="E139" s="2">
        <v>118.33333333333333</v>
      </c>
      <c r="F139">
        <v>41</v>
      </c>
      <c r="G139">
        <v>27.25</v>
      </c>
      <c r="H139" s="3">
        <v>89</v>
      </c>
      <c r="I139">
        <v>0</v>
      </c>
      <c r="J139">
        <v>0</v>
      </c>
      <c r="K139">
        <v>0</v>
      </c>
      <c r="L139">
        <v>0</v>
      </c>
      <c r="N139">
        <v>0</v>
      </c>
      <c r="O139" s="4">
        <v>79</v>
      </c>
      <c r="S139" s="2"/>
      <c r="T139" s="2"/>
    </row>
    <row r="140" spans="1:20" x14ac:dyDescent="0.3">
      <c r="A140" s="1">
        <v>44672</v>
      </c>
      <c r="B140">
        <v>0</v>
      </c>
      <c r="C140">
        <v>2063</v>
      </c>
      <c r="D140" s="2">
        <v>9.7096774193548381</v>
      </c>
      <c r="E140" s="2">
        <v>214.66666666666666</v>
      </c>
      <c r="F140">
        <v>45</v>
      </c>
      <c r="G140">
        <v>27.459999084472699</v>
      </c>
      <c r="H140" s="3">
        <v>91</v>
      </c>
      <c r="I140">
        <v>0</v>
      </c>
      <c r="J140">
        <v>0</v>
      </c>
      <c r="K140">
        <v>0</v>
      </c>
      <c r="L140">
        <v>0</v>
      </c>
      <c r="N140">
        <v>0</v>
      </c>
      <c r="O140" s="4">
        <v>80</v>
      </c>
      <c r="S140" s="2"/>
      <c r="T140" s="2"/>
    </row>
    <row r="141" spans="1:20" x14ac:dyDescent="0.3">
      <c r="A141" s="1">
        <v>44673</v>
      </c>
      <c r="B141">
        <v>1675</v>
      </c>
      <c r="C141">
        <v>2351</v>
      </c>
      <c r="D141" s="2">
        <v>8.629032258064516</v>
      </c>
      <c r="E141" s="2">
        <v>483.66666666666669</v>
      </c>
      <c r="F141">
        <v>78</v>
      </c>
      <c r="G141">
        <v>27.319999694824201</v>
      </c>
      <c r="H141" s="3">
        <v>92</v>
      </c>
      <c r="I141">
        <v>0</v>
      </c>
      <c r="J141">
        <v>0</v>
      </c>
      <c r="K141">
        <v>0</v>
      </c>
      <c r="L141">
        <v>0</v>
      </c>
      <c r="N141">
        <v>0</v>
      </c>
      <c r="O141" s="4">
        <v>81</v>
      </c>
      <c r="S141" s="2"/>
      <c r="T141" s="2"/>
    </row>
    <row r="142" spans="1:20" x14ac:dyDescent="0.3">
      <c r="A142" s="1">
        <v>44674</v>
      </c>
      <c r="B142">
        <v>0</v>
      </c>
      <c r="C142">
        <v>2063</v>
      </c>
      <c r="D142" s="2">
        <v>7.854838709677419</v>
      </c>
      <c r="E142" s="2">
        <v>304.66666666666669</v>
      </c>
      <c r="F142">
        <v>44</v>
      </c>
      <c r="G142">
        <v>24</v>
      </c>
      <c r="H142" s="3">
        <v>94</v>
      </c>
      <c r="I142">
        <v>0</v>
      </c>
      <c r="J142">
        <v>0</v>
      </c>
      <c r="K142">
        <v>0</v>
      </c>
      <c r="L142">
        <v>0</v>
      </c>
      <c r="N142">
        <v>0</v>
      </c>
      <c r="O142" s="4">
        <v>82</v>
      </c>
      <c r="S142" s="2"/>
      <c r="T142" s="2"/>
    </row>
    <row r="143" spans="1:20" x14ac:dyDescent="0.3">
      <c r="A143" s="1">
        <v>44675</v>
      </c>
      <c r="B143">
        <v>0</v>
      </c>
      <c r="C143">
        <v>2064</v>
      </c>
      <c r="D143" s="2">
        <v>8.5322580645161299</v>
      </c>
      <c r="E143" s="2">
        <v>214.66666666666666</v>
      </c>
      <c r="F143">
        <v>34</v>
      </c>
      <c r="G143">
        <v>24.209999084472699</v>
      </c>
      <c r="H143" s="3">
        <v>98</v>
      </c>
      <c r="I143">
        <v>0</v>
      </c>
      <c r="J143">
        <v>0</v>
      </c>
      <c r="K143">
        <v>0</v>
      </c>
      <c r="L143">
        <v>0</v>
      </c>
      <c r="N143">
        <v>0</v>
      </c>
      <c r="O143" s="4">
        <v>83</v>
      </c>
      <c r="S143" s="2"/>
      <c r="T143" s="2"/>
    </row>
    <row r="144" spans="1:20" x14ac:dyDescent="0.3">
      <c r="A144" s="1">
        <v>44676</v>
      </c>
      <c r="B144">
        <v>2704</v>
      </c>
      <c r="C144">
        <v>2411</v>
      </c>
      <c r="D144" s="2">
        <v>4.870967741935484</v>
      </c>
      <c r="E144" s="2">
        <v>214.66666666666666</v>
      </c>
      <c r="F144">
        <v>40</v>
      </c>
      <c r="G144">
        <v>23.959999084472699</v>
      </c>
      <c r="H144" s="3">
        <v>102</v>
      </c>
      <c r="I144">
        <v>0</v>
      </c>
      <c r="J144">
        <v>0</v>
      </c>
      <c r="K144">
        <v>0</v>
      </c>
      <c r="L144">
        <v>0</v>
      </c>
      <c r="N144">
        <v>0</v>
      </c>
      <c r="O144" s="4">
        <v>84</v>
      </c>
      <c r="S144" s="2"/>
      <c r="T144" s="2"/>
    </row>
    <row r="145" spans="1:20" x14ac:dyDescent="0.3">
      <c r="A145" s="1">
        <v>44677</v>
      </c>
      <c r="B145">
        <v>3790</v>
      </c>
      <c r="C145">
        <v>2505</v>
      </c>
      <c r="D145" s="2">
        <v>8.0483870967741939</v>
      </c>
      <c r="E145" s="2">
        <v>482.66666666666669</v>
      </c>
      <c r="F145">
        <v>61</v>
      </c>
      <c r="G145">
        <v>23.889999389648398</v>
      </c>
      <c r="H145" s="3">
        <v>103</v>
      </c>
      <c r="I145">
        <v>0</v>
      </c>
      <c r="J145">
        <v>0</v>
      </c>
      <c r="K145">
        <v>0</v>
      </c>
      <c r="L145">
        <v>0</v>
      </c>
      <c r="N145">
        <v>0</v>
      </c>
      <c r="O145" s="4">
        <v>85</v>
      </c>
      <c r="S145" s="2"/>
      <c r="T145" s="2"/>
    </row>
    <row r="146" spans="1:20" x14ac:dyDescent="0.3">
      <c r="A146" s="1">
        <v>44678</v>
      </c>
      <c r="B146">
        <v>1326</v>
      </c>
      <c r="C146">
        <v>2195</v>
      </c>
      <c r="D146" s="2">
        <v>6.870967741935484</v>
      </c>
      <c r="E146" s="2">
        <v>214.66666666666666</v>
      </c>
      <c r="F146">
        <v>52</v>
      </c>
      <c r="G146">
        <v>23.959999084472699</v>
      </c>
      <c r="H146" s="3">
        <v>98</v>
      </c>
      <c r="I146">
        <v>0</v>
      </c>
      <c r="J146">
        <v>0</v>
      </c>
      <c r="K146">
        <v>0</v>
      </c>
      <c r="L146">
        <v>0</v>
      </c>
      <c r="N146">
        <v>0</v>
      </c>
      <c r="O146" s="4">
        <v>86</v>
      </c>
      <c r="S146" s="2"/>
      <c r="T146" s="2"/>
    </row>
    <row r="147" spans="1:20" x14ac:dyDescent="0.3">
      <c r="A147" s="1">
        <v>44679</v>
      </c>
      <c r="B147">
        <v>1786</v>
      </c>
      <c r="C147">
        <v>2338</v>
      </c>
      <c r="D147" s="2">
        <v>9.9838709677419359</v>
      </c>
      <c r="E147" s="2">
        <v>118.33333333333333</v>
      </c>
      <c r="F147">
        <v>56</v>
      </c>
      <c r="G147">
        <v>24</v>
      </c>
      <c r="H147" s="3">
        <v>94</v>
      </c>
      <c r="I147">
        <v>0</v>
      </c>
      <c r="J147">
        <v>0</v>
      </c>
      <c r="K147">
        <v>0</v>
      </c>
      <c r="L147">
        <v>0</v>
      </c>
      <c r="N147">
        <v>0</v>
      </c>
      <c r="O147" s="4">
        <v>70</v>
      </c>
      <c r="S147" s="2"/>
      <c r="T147" s="2"/>
    </row>
    <row r="148" spans="1:20" x14ac:dyDescent="0.3">
      <c r="A148" s="1">
        <v>44680</v>
      </c>
      <c r="B148">
        <v>0</v>
      </c>
      <c r="C148">
        <v>2063</v>
      </c>
      <c r="D148" s="2">
        <v>1.596774193548387</v>
      </c>
      <c r="E148" s="2">
        <v>429.33333333333331</v>
      </c>
      <c r="F148">
        <v>45</v>
      </c>
      <c r="G148">
        <v>24</v>
      </c>
      <c r="H148" s="3">
        <v>94</v>
      </c>
      <c r="I148">
        <v>0</v>
      </c>
      <c r="J148">
        <v>0</v>
      </c>
      <c r="K148">
        <v>0</v>
      </c>
      <c r="L148">
        <v>0</v>
      </c>
      <c r="N148">
        <v>0</v>
      </c>
      <c r="O148" s="4">
        <v>69</v>
      </c>
      <c r="S148" s="2"/>
      <c r="T148" s="2"/>
    </row>
    <row r="149" spans="1:20" x14ac:dyDescent="0.3">
      <c r="A149" s="1">
        <v>44681</v>
      </c>
      <c r="B149">
        <v>2091</v>
      </c>
      <c r="C149">
        <v>2383</v>
      </c>
      <c r="D149" s="2">
        <v>5.306451612903226</v>
      </c>
      <c r="E149" s="2">
        <v>214.66666666666666</v>
      </c>
      <c r="F149">
        <v>63</v>
      </c>
      <c r="G149">
        <v>24.100000381469702</v>
      </c>
      <c r="H149" s="3">
        <v>93</v>
      </c>
      <c r="I149">
        <v>0</v>
      </c>
      <c r="J149">
        <v>0</v>
      </c>
      <c r="K149">
        <v>0</v>
      </c>
      <c r="L149">
        <v>0</v>
      </c>
      <c r="N149">
        <v>0</v>
      </c>
      <c r="O149" s="4">
        <v>68</v>
      </c>
      <c r="S149" s="2"/>
      <c r="T149" s="2"/>
    </row>
    <row r="150" spans="1:20" x14ac:dyDescent="0.3">
      <c r="A150" s="1">
        <v>44682</v>
      </c>
      <c r="B150">
        <v>1510</v>
      </c>
      <c r="C150">
        <v>2229</v>
      </c>
      <c r="D150" s="2">
        <v>6.790322580645161</v>
      </c>
      <c r="E150" s="2">
        <v>247.66666666666666</v>
      </c>
      <c r="F150">
        <v>87</v>
      </c>
      <c r="G150">
        <v>23.889999389648398</v>
      </c>
      <c r="H150" s="3">
        <v>94</v>
      </c>
      <c r="I150">
        <v>8</v>
      </c>
      <c r="J150">
        <v>0</v>
      </c>
      <c r="K150">
        <v>30</v>
      </c>
      <c r="L150">
        <v>0</v>
      </c>
      <c r="N150">
        <v>80</v>
      </c>
      <c r="O150" s="4">
        <v>67</v>
      </c>
      <c r="S150" s="2"/>
      <c r="T150" s="2"/>
    </row>
    <row r="151" spans="1:20" x14ac:dyDescent="0.3">
      <c r="A151" s="1">
        <v>44683</v>
      </c>
      <c r="B151">
        <v>0</v>
      </c>
      <c r="C151">
        <v>2063</v>
      </c>
      <c r="D151" s="2">
        <v>7.129032258064516</v>
      </c>
      <c r="E151" s="2">
        <v>462.33333333333331</v>
      </c>
      <c r="F151">
        <v>90</v>
      </c>
      <c r="G151">
        <v>23.889999389648398</v>
      </c>
      <c r="H151" s="3">
        <v>94</v>
      </c>
      <c r="I151">
        <v>10</v>
      </c>
      <c r="J151">
        <v>0</v>
      </c>
      <c r="K151">
        <v>35</v>
      </c>
      <c r="L151">
        <v>0</v>
      </c>
      <c r="N151">
        <v>90</v>
      </c>
      <c r="O151" s="4">
        <v>66</v>
      </c>
      <c r="S151" s="2"/>
      <c r="T151" s="2"/>
    </row>
    <row r="152" spans="1:20" x14ac:dyDescent="0.3">
      <c r="A152" s="1">
        <v>44684</v>
      </c>
      <c r="B152">
        <v>0</v>
      </c>
      <c r="C152">
        <v>2063</v>
      </c>
      <c r="D152" s="2">
        <v>1.3225806451612903</v>
      </c>
      <c r="E152" s="2">
        <v>289.33333333333331</v>
      </c>
      <c r="F152">
        <v>69</v>
      </c>
      <c r="G152">
        <v>23.959999084472699</v>
      </c>
      <c r="H152" s="3">
        <v>93</v>
      </c>
      <c r="I152">
        <v>15</v>
      </c>
      <c r="J152">
        <v>0</v>
      </c>
      <c r="K152">
        <v>50</v>
      </c>
      <c r="L152">
        <v>2</v>
      </c>
      <c r="N152">
        <v>120</v>
      </c>
      <c r="O152" s="4">
        <v>65</v>
      </c>
      <c r="S152" s="2"/>
      <c r="T152" s="2"/>
    </row>
    <row r="153" spans="1:20" x14ac:dyDescent="0.3">
      <c r="A153" s="1">
        <v>44685</v>
      </c>
      <c r="B153">
        <v>0</v>
      </c>
      <c r="C153">
        <v>2063</v>
      </c>
      <c r="D153" s="2">
        <v>7.709677419354839</v>
      </c>
      <c r="E153" s="2">
        <v>289.33333333333331</v>
      </c>
      <c r="F153">
        <v>44</v>
      </c>
      <c r="G153">
        <v>23.819999694824201</v>
      </c>
      <c r="H153" s="3">
        <v>93</v>
      </c>
      <c r="I153">
        <v>8</v>
      </c>
      <c r="J153">
        <v>0</v>
      </c>
      <c r="K153">
        <v>30</v>
      </c>
      <c r="L153">
        <v>0</v>
      </c>
      <c r="N153">
        <v>80</v>
      </c>
      <c r="O153" s="4">
        <v>64</v>
      </c>
      <c r="S153" s="2"/>
      <c r="T153" s="2"/>
    </row>
    <row r="154" spans="1:20" x14ac:dyDescent="0.3">
      <c r="A154" s="1">
        <v>44686</v>
      </c>
      <c r="B154">
        <v>0</v>
      </c>
      <c r="C154">
        <v>2063</v>
      </c>
      <c r="D154" s="2">
        <v>8.9032258064516121</v>
      </c>
      <c r="E154" s="2">
        <v>462.33333333333331</v>
      </c>
      <c r="F154">
        <v>36</v>
      </c>
      <c r="G154">
        <v>24.100000381469702</v>
      </c>
      <c r="H154" s="3">
        <v>95</v>
      </c>
      <c r="I154">
        <v>10</v>
      </c>
      <c r="J154">
        <v>0</v>
      </c>
      <c r="K154">
        <v>35</v>
      </c>
      <c r="L154">
        <v>0</v>
      </c>
      <c r="N154">
        <v>90</v>
      </c>
      <c r="O154" s="4">
        <v>63</v>
      </c>
      <c r="S154" s="2"/>
      <c r="T154" s="2"/>
    </row>
    <row r="155" spans="1:20" x14ac:dyDescent="0.3">
      <c r="A155" s="1">
        <v>44687</v>
      </c>
      <c r="B155">
        <v>0</v>
      </c>
      <c r="C155">
        <v>1383</v>
      </c>
      <c r="D155" s="2">
        <v>5.145161290322581</v>
      </c>
      <c r="E155" s="2">
        <v>195.66666666666666</v>
      </c>
      <c r="F155">
        <v>31</v>
      </c>
      <c r="G155">
        <v>24</v>
      </c>
      <c r="H155" s="3">
        <v>93</v>
      </c>
      <c r="I155">
        <v>15</v>
      </c>
      <c r="J155">
        <v>0</v>
      </c>
      <c r="K155">
        <v>50</v>
      </c>
      <c r="L155">
        <v>2</v>
      </c>
      <c r="N155">
        <v>120</v>
      </c>
      <c r="O155" s="4">
        <v>62</v>
      </c>
      <c r="S155" s="2"/>
      <c r="T155" s="2"/>
    </row>
    <row r="156" spans="1:20" x14ac:dyDescent="0.3">
      <c r="A156" s="1">
        <v>44688</v>
      </c>
      <c r="B156">
        <v>11875</v>
      </c>
      <c r="C156">
        <v>2390</v>
      </c>
      <c r="D156" s="2">
        <v>7.080645161290323</v>
      </c>
      <c r="E156" s="2">
        <v>444.66666666666669</v>
      </c>
      <c r="F156">
        <v>22</v>
      </c>
      <c r="G156">
        <v>23.819999694824201</v>
      </c>
      <c r="H156" s="3">
        <v>92</v>
      </c>
      <c r="I156">
        <v>8</v>
      </c>
      <c r="J156">
        <v>0</v>
      </c>
      <c r="K156">
        <v>30</v>
      </c>
      <c r="L156">
        <v>0</v>
      </c>
      <c r="N156">
        <v>80</v>
      </c>
      <c r="O156" s="4">
        <v>61</v>
      </c>
      <c r="Q156" s="2"/>
      <c r="S156" s="2"/>
      <c r="T156" s="2"/>
    </row>
    <row r="157" spans="1:20" x14ac:dyDescent="0.3">
      <c r="A157" s="1">
        <v>44689</v>
      </c>
      <c r="B157">
        <v>12022</v>
      </c>
      <c r="C157">
        <v>2601</v>
      </c>
      <c r="D157" s="2">
        <v>6.903225806451613</v>
      </c>
      <c r="E157" s="2">
        <v>444.66666666666669</v>
      </c>
      <c r="F157">
        <v>51</v>
      </c>
      <c r="G157">
        <v>25</v>
      </c>
      <c r="H157" s="3">
        <v>93</v>
      </c>
      <c r="I157">
        <v>10</v>
      </c>
      <c r="J157">
        <v>0</v>
      </c>
      <c r="K157">
        <v>35</v>
      </c>
      <c r="L157">
        <v>0</v>
      </c>
      <c r="N157">
        <v>90</v>
      </c>
      <c r="O157" s="4">
        <v>60</v>
      </c>
      <c r="Q157" s="2"/>
      <c r="S157" s="2"/>
      <c r="T157" s="2"/>
    </row>
    <row r="158" spans="1:20" x14ac:dyDescent="0.3">
      <c r="A158" s="1">
        <v>44690</v>
      </c>
      <c r="B158">
        <v>10690</v>
      </c>
      <c r="C158">
        <v>2312</v>
      </c>
      <c r="D158" s="2">
        <v>6.596774193548387</v>
      </c>
      <c r="E158" s="2">
        <v>481.33333333333331</v>
      </c>
      <c r="F158">
        <v>42</v>
      </c>
      <c r="G158">
        <v>26</v>
      </c>
      <c r="H158" s="3">
        <v>92</v>
      </c>
      <c r="I158">
        <v>15</v>
      </c>
      <c r="J158">
        <v>0</v>
      </c>
      <c r="K158">
        <v>50</v>
      </c>
      <c r="L158">
        <v>2</v>
      </c>
      <c r="N158">
        <v>120</v>
      </c>
      <c r="O158" s="4">
        <v>75</v>
      </c>
      <c r="Q158" s="2"/>
      <c r="S158" s="2"/>
      <c r="T158" s="2"/>
    </row>
    <row r="159" spans="1:20" x14ac:dyDescent="0.3">
      <c r="A159" s="1">
        <v>44691</v>
      </c>
      <c r="B159">
        <v>11034</v>
      </c>
      <c r="C159">
        <v>2525</v>
      </c>
      <c r="D159" s="2">
        <v>8.82258064516129</v>
      </c>
      <c r="E159" s="2">
        <v>563.33333333333337</v>
      </c>
      <c r="F159">
        <v>15</v>
      </c>
      <c r="G159">
        <v>20</v>
      </c>
      <c r="H159" s="3">
        <v>93</v>
      </c>
      <c r="I159">
        <v>8</v>
      </c>
      <c r="J159">
        <v>0</v>
      </c>
      <c r="K159">
        <v>30</v>
      </c>
      <c r="L159">
        <v>0</v>
      </c>
      <c r="N159">
        <v>80</v>
      </c>
      <c r="O159" s="4">
        <v>74</v>
      </c>
      <c r="Q159" s="2"/>
      <c r="S159" s="2"/>
      <c r="T159" s="2"/>
    </row>
    <row r="160" spans="1:20" x14ac:dyDescent="0.3">
      <c r="A160" s="1">
        <v>44692</v>
      </c>
      <c r="B160">
        <v>10100</v>
      </c>
      <c r="C160">
        <v>2177</v>
      </c>
      <c r="D160" s="2">
        <v>5.935483870967742</v>
      </c>
      <c r="E160" s="2">
        <v>543</v>
      </c>
      <c r="F160">
        <v>15</v>
      </c>
      <c r="G160">
        <v>27.450000762939499</v>
      </c>
      <c r="H160" s="3">
        <v>92</v>
      </c>
      <c r="I160">
        <v>10</v>
      </c>
      <c r="J160">
        <v>0</v>
      </c>
      <c r="K160">
        <v>35</v>
      </c>
      <c r="L160">
        <v>2</v>
      </c>
      <c r="N160">
        <v>90</v>
      </c>
      <c r="O160" s="4">
        <v>73</v>
      </c>
      <c r="Q160" s="2"/>
      <c r="S160" s="2"/>
      <c r="T160" s="2"/>
    </row>
    <row r="161" spans="1:20" x14ac:dyDescent="0.3">
      <c r="A161" s="1">
        <v>44693</v>
      </c>
      <c r="B161">
        <v>15112</v>
      </c>
      <c r="C161">
        <v>2782</v>
      </c>
      <c r="D161" s="2">
        <v>6.290322580645161</v>
      </c>
      <c r="E161" s="2">
        <v>494.33333333333331</v>
      </c>
      <c r="F161">
        <v>35</v>
      </c>
      <c r="G161">
        <v>27.379999160766602</v>
      </c>
      <c r="H161" s="3">
        <v>93</v>
      </c>
      <c r="I161">
        <v>15</v>
      </c>
      <c r="J161">
        <v>0</v>
      </c>
      <c r="K161">
        <v>50</v>
      </c>
      <c r="L161">
        <v>2</v>
      </c>
      <c r="N161">
        <v>120</v>
      </c>
      <c r="O161" s="4">
        <v>72</v>
      </c>
      <c r="Q161" s="2"/>
      <c r="S161" s="2"/>
      <c r="T161" s="2"/>
    </row>
    <row r="162" spans="1:20" x14ac:dyDescent="0.3">
      <c r="A162" s="1">
        <v>44694</v>
      </c>
      <c r="B162">
        <v>14131</v>
      </c>
      <c r="C162">
        <v>2770</v>
      </c>
      <c r="D162" s="2">
        <v>7.596774193548387</v>
      </c>
      <c r="E162" s="2">
        <v>444.66666666666669</v>
      </c>
      <c r="F162">
        <v>25</v>
      </c>
      <c r="G162">
        <v>27.25</v>
      </c>
      <c r="H162" s="3">
        <v>94</v>
      </c>
      <c r="I162">
        <v>8</v>
      </c>
      <c r="J162">
        <v>0</v>
      </c>
      <c r="K162">
        <v>30</v>
      </c>
      <c r="L162">
        <v>0</v>
      </c>
      <c r="N162">
        <v>80</v>
      </c>
      <c r="O162" s="4">
        <v>71</v>
      </c>
      <c r="Q162" s="2"/>
      <c r="S162" s="2"/>
      <c r="T162" s="2"/>
    </row>
    <row r="163" spans="1:20" x14ac:dyDescent="0.3">
      <c r="A163" s="1">
        <v>44695</v>
      </c>
      <c r="B163">
        <v>11548</v>
      </c>
      <c r="C163">
        <v>2489</v>
      </c>
      <c r="D163" s="2">
        <v>7.596774193548387</v>
      </c>
      <c r="E163" s="2">
        <v>424.33333333333331</v>
      </c>
      <c r="F163">
        <v>16</v>
      </c>
      <c r="G163">
        <v>27.459999084472699</v>
      </c>
      <c r="H163" s="3">
        <v>93</v>
      </c>
      <c r="I163">
        <v>10</v>
      </c>
      <c r="J163">
        <v>0</v>
      </c>
      <c r="K163">
        <v>35</v>
      </c>
      <c r="L163">
        <v>0</v>
      </c>
      <c r="N163">
        <v>90</v>
      </c>
      <c r="O163" s="4">
        <v>70</v>
      </c>
      <c r="Q163" s="2"/>
      <c r="S163" s="2"/>
      <c r="T163" s="2"/>
    </row>
    <row r="164" spans="1:20" x14ac:dyDescent="0.3">
      <c r="A164" s="1">
        <v>44696</v>
      </c>
      <c r="B164">
        <v>15112</v>
      </c>
      <c r="C164">
        <v>2897</v>
      </c>
      <c r="D164" s="2">
        <v>7.612903225806452</v>
      </c>
      <c r="E164" s="2">
        <v>494.33333333333331</v>
      </c>
      <c r="F164">
        <v>45</v>
      </c>
      <c r="G164">
        <v>27.319999694824201</v>
      </c>
      <c r="H164" s="3">
        <v>94</v>
      </c>
      <c r="I164">
        <v>15</v>
      </c>
      <c r="J164">
        <v>0</v>
      </c>
      <c r="K164">
        <v>50</v>
      </c>
      <c r="L164">
        <v>2</v>
      </c>
      <c r="N164">
        <v>120</v>
      </c>
      <c r="O164" s="4">
        <v>69</v>
      </c>
      <c r="Q164" s="2"/>
      <c r="S164" s="2"/>
      <c r="T164" s="2"/>
    </row>
    <row r="165" spans="1:20" x14ac:dyDescent="0.3">
      <c r="A165" s="1">
        <v>44697</v>
      </c>
      <c r="B165">
        <v>12453</v>
      </c>
      <c r="C165">
        <v>3158</v>
      </c>
      <c r="D165" s="2">
        <v>8.5322580645161299</v>
      </c>
      <c r="E165" s="2">
        <v>563.33333333333337</v>
      </c>
      <c r="F165">
        <v>36</v>
      </c>
      <c r="G165">
        <v>24</v>
      </c>
      <c r="H165" s="3">
        <v>95</v>
      </c>
      <c r="I165">
        <v>10</v>
      </c>
      <c r="J165">
        <v>0</v>
      </c>
      <c r="K165">
        <v>30</v>
      </c>
      <c r="L165">
        <v>0</v>
      </c>
      <c r="N165">
        <v>0</v>
      </c>
      <c r="O165" s="4">
        <v>68</v>
      </c>
      <c r="Q165" s="2"/>
      <c r="S165" s="2"/>
      <c r="T165" s="2"/>
    </row>
    <row r="166" spans="1:20" x14ac:dyDescent="0.3">
      <c r="A166" s="1">
        <v>44698</v>
      </c>
      <c r="B166">
        <v>12954</v>
      </c>
      <c r="C166">
        <v>2638</v>
      </c>
      <c r="D166" s="2">
        <v>1</v>
      </c>
      <c r="E166" s="2">
        <v>543</v>
      </c>
      <c r="F166">
        <v>40</v>
      </c>
      <c r="G166">
        <v>24.209999084472699</v>
      </c>
      <c r="H166" s="3">
        <v>102</v>
      </c>
      <c r="I166">
        <v>15</v>
      </c>
      <c r="J166">
        <v>0</v>
      </c>
      <c r="K166">
        <v>40</v>
      </c>
      <c r="L166">
        <v>0</v>
      </c>
      <c r="N166">
        <v>0</v>
      </c>
      <c r="O166" s="4">
        <v>67</v>
      </c>
      <c r="Q166" s="2"/>
      <c r="S166" s="2"/>
      <c r="T166" s="2"/>
    </row>
    <row r="167" spans="1:20" x14ac:dyDescent="0.3">
      <c r="A167" s="1">
        <v>44699</v>
      </c>
      <c r="B167">
        <v>6001</v>
      </c>
      <c r="C167">
        <v>2069</v>
      </c>
      <c r="D167" s="2">
        <v>5.709677419354839</v>
      </c>
      <c r="E167" s="2">
        <v>563.33333333333337</v>
      </c>
      <c r="F167">
        <v>31</v>
      </c>
      <c r="G167">
        <v>23.959999084472699</v>
      </c>
      <c r="H167" s="3">
        <v>103</v>
      </c>
      <c r="I167">
        <v>15</v>
      </c>
      <c r="J167">
        <v>0</v>
      </c>
      <c r="K167">
        <v>50</v>
      </c>
      <c r="L167">
        <v>2</v>
      </c>
      <c r="N167">
        <v>0</v>
      </c>
      <c r="O167" s="4">
        <v>66</v>
      </c>
      <c r="Q167" s="2"/>
      <c r="S167" s="2"/>
      <c r="T167" s="2"/>
    </row>
    <row r="168" spans="1:20" x14ac:dyDescent="0.3">
      <c r="A168" s="1">
        <v>44700</v>
      </c>
      <c r="B168">
        <v>13481</v>
      </c>
      <c r="C168">
        <v>2529</v>
      </c>
      <c r="D168" s="2">
        <v>7.564516129032258</v>
      </c>
      <c r="E168" s="2">
        <v>494.33333333333331</v>
      </c>
      <c r="F168">
        <v>40</v>
      </c>
      <c r="G168">
        <v>23.889999389648398</v>
      </c>
      <c r="H168" s="3">
        <v>98</v>
      </c>
      <c r="I168">
        <v>10</v>
      </c>
      <c r="J168">
        <v>0</v>
      </c>
      <c r="K168">
        <v>30</v>
      </c>
      <c r="L168">
        <v>0</v>
      </c>
      <c r="N168">
        <v>0</v>
      </c>
      <c r="O168" s="4">
        <v>65</v>
      </c>
      <c r="Q168" s="2"/>
      <c r="S168" s="2"/>
      <c r="T168" s="2"/>
    </row>
    <row r="169" spans="1:20" x14ac:dyDescent="0.3">
      <c r="A169" s="1">
        <v>44701</v>
      </c>
      <c r="B169">
        <v>11369</v>
      </c>
      <c r="C169">
        <v>2470</v>
      </c>
      <c r="D169" s="2">
        <v>6.919354838709677</v>
      </c>
      <c r="E169" s="2">
        <v>494.33333333333331</v>
      </c>
      <c r="F169">
        <v>32</v>
      </c>
      <c r="G169">
        <v>23.959999084472699</v>
      </c>
      <c r="H169" s="3">
        <v>94</v>
      </c>
      <c r="I169">
        <v>15</v>
      </c>
      <c r="J169">
        <v>0</v>
      </c>
      <c r="K169">
        <v>40</v>
      </c>
      <c r="L169">
        <v>0</v>
      </c>
      <c r="N169">
        <v>0</v>
      </c>
      <c r="O169" s="4">
        <v>64</v>
      </c>
      <c r="Q169" s="2"/>
      <c r="S169" s="2"/>
      <c r="T169" s="2"/>
    </row>
    <row r="170" spans="1:20" x14ac:dyDescent="0.3">
      <c r="A170" s="1">
        <v>44702</v>
      </c>
      <c r="B170">
        <v>10119</v>
      </c>
      <c r="C170">
        <v>2793</v>
      </c>
      <c r="D170" s="2">
        <v>5.967741935483871</v>
      </c>
      <c r="E170" s="2">
        <v>444.66666666666669</v>
      </c>
      <c r="F170">
        <v>23</v>
      </c>
      <c r="G170">
        <v>24</v>
      </c>
      <c r="H170" s="3">
        <v>94</v>
      </c>
      <c r="I170">
        <v>15</v>
      </c>
      <c r="J170">
        <v>0</v>
      </c>
      <c r="K170">
        <v>50</v>
      </c>
      <c r="L170">
        <v>2</v>
      </c>
      <c r="N170">
        <v>0</v>
      </c>
      <c r="O170" s="4">
        <v>63</v>
      </c>
      <c r="Q170" s="2"/>
      <c r="S170" s="2"/>
      <c r="T170" s="2"/>
    </row>
    <row r="171" spans="1:20" x14ac:dyDescent="0.3">
      <c r="A171" s="1">
        <v>44703</v>
      </c>
      <c r="B171">
        <v>10159</v>
      </c>
      <c r="C171">
        <v>2463</v>
      </c>
      <c r="D171" s="2">
        <v>7.112903225806452</v>
      </c>
      <c r="E171" s="2">
        <v>494.33333333333331</v>
      </c>
      <c r="F171">
        <v>14</v>
      </c>
      <c r="G171">
        <v>25</v>
      </c>
      <c r="H171" s="3">
        <v>93</v>
      </c>
      <c r="I171">
        <v>10</v>
      </c>
      <c r="J171">
        <v>0</v>
      </c>
      <c r="K171">
        <v>30</v>
      </c>
      <c r="L171">
        <v>0</v>
      </c>
      <c r="N171">
        <v>0</v>
      </c>
      <c r="O171" s="4">
        <v>62</v>
      </c>
      <c r="Q171" s="2"/>
      <c r="S171" s="2"/>
      <c r="T171" s="2"/>
    </row>
    <row r="172" spans="1:20" x14ac:dyDescent="0.3">
      <c r="A172" s="1">
        <v>44704</v>
      </c>
      <c r="B172">
        <v>10140</v>
      </c>
      <c r="C172">
        <v>2296</v>
      </c>
      <c r="D172" s="2">
        <v>5.435483870967742</v>
      </c>
      <c r="E172" s="2">
        <v>494.33333333333331</v>
      </c>
      <c r="F172">
        <v>10</v>
      </c>
      <c r="G172">
        <v>24.100000381469702</v>
      </c>
      <c r="H172" s="3">
        <v>94</v>
      </c>
      <c r="I172">
        <v>15</v>
      </c>
      <c r="J172">
        <v>0</v>
      </c>
      <c r="K172">
        <v>40</v>
      </c>
      <c r="L172">
        <v>0</v>
      </c>
      <c r="N172">
        <v>0</v>
      </c>
      <c r="O172" s="4">
        <v>90</v>
      </c>
      <c r="Q172" s="2"/>
      <c r="S172" s="2"/>
      <c r="T172" s="2"/>
    </row>
    <row r="173" spans="1:20" x14ac:dyDescent="0.3">
      <c r="A173" s="1">
        <v>44705</v>
      </c>
      <c r="B173">
        <v>10245</v>
      </c>
      <c r="C173">
        <v>2611</v>
      </c>
      <c r="D173" s="2">
        <v>7.4516129032258061</v>
      </c>
      <c r="E173" s="2">
        <v>494.33333333333331</v>
      </c>
      <c r="F173">
        <v>15</v>
      </c>
      <c r="G173">
        <v>23.889999389648398</v>
      </c>
      <c r="H173" s="3">
        <v>94</v>
      </c>
      <c r="I173">
        <v>15</v>
      </c>
      <c r="J173">
        <v>0</v>
      </c>
      <c r="K173">
        <v>50</v>
      </c>
      <c r="L173">
        <v>2</v>
      </c>
      <c r="N173">
        <v>0</v>
      </c>
      <c r="O173" s="4">
        <v>91</v>
      </c>
      <c r="Q173" s="2"/>
      <c r="S173" s="2"/>
      <c r="T173" s="2"/>
    </row>
    <row r="174" spans="1:20" x14ac:dyDescent="0.3">
      <c r="A174" s="1">
        <v>44706</v>
      </c>
      <c r="B174">
        <v>18387</v>
      </c>
      <c r="C174">
        <v>2732</v>
      </c>
      <c r="D174" s="2">
        <v>1.5806451612903225</v>
      </c>
      <c r="E174" s="2">
        <v>494.33333333333331</v>
      </c>
      <c r="F174">
        <v>25</v>
      </c>
      <c r="G174">
        <v>23.889999389648398</v>
      </c>
      <c r="H174" s="3">
        <v>93</v>
      </c>
      <c r="I174">
        <v>10</v>
      </c>
      <c r="J174">
        <v>0</v>
      </c>
      <c r="K174">
        <v>30</v>
      </c>
      <c r="L174">
        <v>0</v>
      </c>
      <c r="N174">
        <v>0</v>
      </c>
      <c r="O174" s="4">
        <v>76</v>
      </c>
      <c r="Q174" s="2"/>
      <c r="S174" s="2"/>
      <c r="T174" s="2"/>
    </row>
    <row r="175" spans="1:20" x14ac:dyDescent="0.3">
      <c r="A175" s="1">
        <v>44707</v>
      </c>
      <c r="B175">
        <v>10538</v>
      </c>
      <c r="C175">
        <v>2380</v>
      </c>
      <c r="D175" s="2">
        <v>6.258064516129032</v>
      </c>
      <c r="E175" s="2">
        <v>494.33333333333331</v>
      </c>
      <c r="F175">
        <v>50</v>
      </c>
      <c r="G175">
        <v>23.959999084472699</v>
      </c>
      <c r="H175" s="3">
        <v>93</v>
      </c>
      <c r="I175">
        <v>15</v>
      </c>
      <c r="J175">
        <v>0</v>
      </c>
      <c r="K175">
        <v>40</v>
      </c>
      <c r="L175">
        <v>2</v>
      </c>
      <c r="N175">
        <v>0</v>
      </c>
      <c r="O175" s="4">
        <v>77</v>
      </c>
      <c r="Q175" s="2"/>
      <c r="S175" s="2"/>
      <c r="T175" s="2"/>
    </row>
    <row r="176" spans="1:20" x14ac:dyDescent="0.3">
      <c r="A176" s="1">
        <v>44708</v>
      </c>
      <c r="B176">
        <v>10379</v>
      </c>
      <c r="C176">
        <v>2473</v>
      </c>
      <c r="D176" s="2">
        <v>7.080645161290323</v>
      </c>
      <c r="E176" s="2">
        <v>494.33333333333331</v>
      </c>
      <c r="F176">
        <v>24</v>
      </c>
      <c r="G176">
        <v>23.819999694824201</v>
      </c>
      <c r="H176" s="3">
        <v>95</v>
      </c>
      <c r="I176">
        <v>15</v>
      </c>
      <c r="J176">
        <v>0</v>
      </c>
      <c r="K176">
        <v>50</v>
      </c>
      <c r="L176">
        <v>2</v>
      </c>
      <c r="N176">
        <v>0</v>
      </c>
      <c r="O176" s="4">
        <v>78</v>
      </c>
      <c r="Q176" s="2"/>
      <c r="S176" s="2"/>
      <c r="T176" s="2"/>
    </row>
    <row r="177" spans="1:20" x14ac:dyDescent="0.3">
      <c r="A177" s="1">
        <v>44709</v>
      </c>
      <c r="B177">
        <v>12183</v>
      </c>
      <c r="C177">
        <v>2752</v>
      </c>
      <c r="D177" s="2">
        <v>7.032258064516129</v>
      </c>
      <c r="E177" s="2">
        <v>494.33333333333331</v>
      </c>
      <c r="F177">
        <v>30</v>
      </c>
      <c r="G177">
        <v>24.100000381469702</v>
      </c>
      <c r="H177" s="3">
        <v>93</v>
      </c>
      <c r="I177">
        <v>10</v>
      </c>
      <c r="J177">
        <v>0</v>
      </c>
      <c r="K177">
        <v>30</v>
      </c>
      <c r="L177">
        <v>0</v>
      </c>
      <c r="N177">
        <v>0</v>
      </c>
      <c r="O177" s="4">
        <v>79</v>
      </c>
      <c r="Q177" s="2"/>
      <c r="S177" s="2"/>
      <c r="T177" s="2"/>
    </row>
    <row r="178" spans="1:20" x14ac:dyDescent="0.3">
      <c r="A178" s="1">
        <v>44710</v>
      </c>
      <c r="B178">
        <v>11768</v>
      </c>
      <c r="C178">
        <v>2649</v>
      </c>
      <c r="D178" s="2">
        <v>6.258064516129032</v>
      </c>
      <c r="E178" s="2">
        <v>303.33333333333331</v>
      </c>
      <c r="F178">
        <v>39</v>
      </c>
      <c r="G178">
        <v>24.16</v>
      </c>
      <c r="H178" s="3">
        <v>92</v>
      </c>
      <c r="I178">
        <v>15</v>
      </c>
      <c r="J178">
        <v>0</v>
      </c>
      <c r="K178">
        <v>40</v>
      </c>
      <c r="L178">
        <v>0</v>
      </c>
      <c r="N178">
        <v>0</v>
      </c>
      <c r="O178" s="4">
        <v>80</v>
      </c>
      <c r="Q178" s="2"/>
      <c r="S178" s="2"/>
      <c r="T178" s="2"/>
    </row>
    <row r="179" spans="1:20" x14ac:dyDescent="0.3">
      <c r="A179" s="1">
        <v>44711</v>
      </c>
      <c r="B179">
        <v>11895</v>
      </c>
      <c r="C179">
        <v>2609</v>
      </c>
      <c r="D179" s="2">
        <v>5.290322580645161</v>
      </c>
      <c r="E179" s="2">
        <v>304.66666666666669</v>
      </c>
      <c r="F179">
        <v>24</v>
      </c>
      <c r="G179">
        <v>23.819999694824201</v>
      </c>
      <c r="H179" s="3">
        <v>93</v>
      </c>
      <c r="I179">
        <v>15</v>
      </c>
      <c r="J179">
        <v>0</v>
      </c>
      <c r="K179">
        <v>50</v>
      </c>
      <c r="L179">
        <v>2</v>
      </c>
      <c r="N179">
        <v>0</v>
      </c>
      <c r="O179" s="4">
        <v>81</v>
      </c>
      <c r="Q179" s="2"/>
      <c r="S179" s="2"/>
      <c r="T179" s="2"/>
    </row>
    <row r="180" spans="1:20" x14ac:dyDescent="0.3">
      <c r="A180" s="1">
        <v>44712</v>
      </c>
      <c r="B180">
        <v>10227</v>
      </c>
      <c r="C180">
        <v>2498</v>
      </c>
      <c r="D180" s="2">
        <v>5.693548387096774</v>
      </c>
      <c r="E180" s="2">
        <v>304.66666666666669</v>
      </c>
      <c r="F180">
        <v>30</v>
      </c>
      <c r="G180">
        <v>23.850000381469702</v>
      </c>
      <c r="H180" s="3">
        <v>92</v>
      </c>
      <c r="I180">
        <v>10</v>
      </c>
      <c r="J180">
        <v>0</v>
      </c>
      <c r="K180">
        <v>30</v>
      </c>
      <c r="L180">
        <v>6</v>
      </c>
      <c r="N180">
        <v>100</v>
      </c>
      <c r="O180" s="4">
        <v>82</v>
      </c>
      <c r="Q180" s="2"/>
      <c r="S180" s="2"/>
      <c r="T180" s="2"/>
    </row>
    <row r="181" spans="1:20" x14ac:dyDescent="0.3">
      <c r="A181" s="1">
        <v>44713</v>
      </c>
      <c r="B181">
        <v>6708</v>
      </c>
      <c r="C181">
        <v>1995</v>
      </c>
      <c r="D181" s="2">
        <v>5.354838709677419</v>
      </c>
      <c r="E181" s="2">
        <v>367.66666666666669</v>
      </c>
      <c r="F181">
        <v>39</v>
      </c>
      <c r="G181">
        <v>23.889999389648398</v>
      </c>
      <c r="H181" s="3">
        <v>93</v>
      </c>
      <c r="I181">
        <v>10</v>
      </c>
      <c r="J181">
        <v>0</v>
      </c>
      <c r="K181">
        <v>40</v>
      </c>
      <c r="L181">
        <v>6</v>
      </c>
      <c r="N181">
        <v>120</v>
      </c>
      <c r="O181" s="4">
        <v>83</v>
      </c>
      <c r="Q181" s="2"/>
      <c r="S181" s="2"/>
      <c r="T181" s="2"/>
    </row>
    <row r="182" spans="1:20" x14ac:dyDescent="0.3">
      <c r="A182" s="1">
        <v>44714</v>
      </c>
      <c r="B182">
        <v>3292</v>
      </c>
      <c r="C182">
        <v>1848</v>
      </c>
      <c r="D182" s="2">
        <v>6.758064516129032</v>
      </c>
      <c r="E182" s="2">
        <v>214.66666666666666</v>
      </c>
      <c r="F182">
        <v>24</v>
      </c>
      <c r="G182">
        <v>23.889999389648398</v>
      </c>
      <c r="H182" s="3">
        <v>92</v>
      </c>
      <c r="I182">
        <v>15</v>
      </c>
      <c r="J182">
        <v>0</v>
      </c>
      <c r="K182">
        <v>50</v>
      </c>
      <c r="L182">
        <v>8</v>
      </c>
      <c r="N182">
        <v>150</v>
      </c>
      <c r="O182" s="4">
        <v>84</v>
      </c>
      <c r="Q182" s="2"/>
      <c r="S182" s="2"/>
      <c r="T182" s="2"/>
    </row>
    <row r="183" spans="1:20" x14ac:dyDescent="0.3">
      <c r="A183" s="1">
        <v>44715</v>
      </c>
      <c r="B183">
        <v>13379</v>
      </c>
      <c r="C183">
        <v>2709</v>
      </c>
      <c r="D183" s="2">
        <v>1.7096774193548387</v>
      </c>
      <c r="E183" s="2">
        <v>587</v>
      </c>
      <c r="F183">
        <v>30</v>
      </c>
      <c r="G183">
        <v>24.2399997711182</v>
      </c>
      <c r="H183" s="3">
        <v>93</v>
      </c>
      <c r="I183">
        <v>10</v>
      </c>
      <c r="J183">
        <v>0</v>
      </c>
      <c r="K183">
        <v>35</v>
      </c>
      <c r="L183">
        <v>6</v>
      </c>
      <c r="N183">
        <v>30</v>
      </c>
      <c r="O183" s="4">
        <v>85</v>
      </c>
      <c r="Q183" s="2"/>
      <c r="S183" s="2"/>
      <c r="T183" s="2"/>
    </row>
    <row r="184" spans="1:20" x14ac:dyDescent="0.3">
      <c r="A184" s="1">
        <v>44716</v>
      </c>
      <c r="B184">
        <v>12798</v>
      </c>
      <c r="C184">
        <v>2797</v>
      </c>
      <c r="D184" s="2">
        <v>5.193548387096774</v>
      </c>
      <c r="E184" s="2">
        <v>779</v>
      </c>
      <c r="F184">
        <v>39</v>
      </c>
      <c r="G184">
        <v>24.170000076293899</v>
      </c>
      <c r="H184" s="3">
        <v>94</v>
      </c>
      <c r="I184">
        <v>15</v>
      </c>
      <c r="J184">
        <v>0</v>
      </c>
      <c r="K184">
        <v>40</v>
      </c>
      <c r="L184">
        <v>6</v>
      </c>
      <c r="N184">
        <v>30</v>
      </c>
      <c r="O184" s="4">
        <v>86</v>
      </c>
      <c r="Q184" s="2"/>
      <c r="S184" s="2"/>
      <c r="T184" s="2"/>
    </row>
    <row r="185" spans="1:20" x14ac:dyDescent="0.3">
      <c r="A185" s="1">
        <v>44717</v>
      </c>
      <c r="B185">
        <v>13272</v>
      </c>
      <c r="C185">
        <v>2544</v>
      </c>
      <c r="D185" s="2">
        <v>7.080645161290323</v>
      </c>
      <c r="E185" s="2">
        <v>118.33333333333333</v>
      </c>
      <c r="F185">
        <v>24</v>
      </c>
      <c r="G185">
        <v>24.170000076293899</v>
      </c>
      <c r="H185" s="3">
        <v>93</v>
      </c>
      <c r="I185">
        <v>20</v>
      </c>
      <c r="J185">
        <v>0</v>
      </c>
      <c r="K185">
        <v>50</v>
      </c>
      <c r="L185">
        <v>8</v>
      </c>
      <c r="N185">
        <v>35</v>
      </c>
      <c r="O185" s="4">
        <v>87</v>
      </c>
      <c r="Q185" s="2"/>
      <c r="S185" s="2"/>
      <c r="T185" s="2"/>
    </row>
    <row r="186" spans="1:20" x14ac:dyDescent="0.3">
      <c r="A186" s="1">
        <v>44718</v>
      </c>
      <c r="B186">
        <v>9117</v>
      </c>
      <c r="C186">
        <v>1853</v>
      </c>
      <c r="D186" s="2">
        <v>8.0967741935483879</v>
      </c>
      <c r="E186" s="2">
        <v>192</v>
      </c>
      <c r="F186">
        <v>30</v>
      </c>
      <c r="G186">
        <v>23.959999084472699</v>
      </c>
      <c r="H186" s="3">
        <v>94</v>
      </c>
      <c r="I186">
        <v>10</v>
      </c>
      <c r="J186">
        <v>0</v>
      </c>
      <c r="K186">
        <v>30</v>
      </c>
      <c r="L186">
        <v>2</v>
      </c>
      <c r="N186">
        <v>100</v>
      </c>
      <c r="O186" s="4">
        <v>88</v>
      </c>
      <c r="Q186" s="2"/>
      <c r="S186" s="2"/>
      <c r="T186" s="2"/>
    </row>
    <row r="187" spans="1:20" x14ac:dyDescent="0.3">
      <c r="A187" s="1">
        <v>44719</v>
      </c>
      <c r="B187">
        <v>4414</v>
      </c>
      <c r="C187">
        <v>1459</v>
      </c>
      <c r="D187" s="2">
        <v>6.725806451612903</v>
      </c>
      <c r="E187" s="2">
        <v>214.66666666666666</v>
      </c>
      <c r="F187">
        <v>39</v>
      </c>
      <c r="G187">
        <v>24</v>
      </c>
      <c r="H187" s="3">
        <v>95</v>
      </c>
      <c r="I187">
        <v>15</v>
      </c>
      <c r="J187">
        <v>0</v>
      </c>
      <c r="K187">
        <v>40</v>
      </c>
      <c r="L187">
        <v>2</v>
      </c>
      <c r="N187">
        <v>120</v>
      </c>
      <c r="O187" s="4">
        <v>89</v>
      </c>
      <c r="Q187" s="2"/>
      <c r="S187" s="2"/>
      <c r="T187" s="2"/>
    </row>
    <row r="188" spans="1:20" x14ac:dyDescent="0.3">
      <c r="A188" s="1">
        <v>44720</v>
      </c>
      <c r="B188">
        <v>4993</v>
      </c>
      <c r="C188">
        <v>1521</v>
      </c>
      <c r="D188" s="2">
        <v>5.435483870967742</v>
      </c>
      <c r="E188" s="2">
        <v>192</v>
      </c>
      <c r="F188">
        <v>24</v>
      </c>
      <c r="G188">
        <v>25</v>
      </c>
      <c r="H188" s="3">
        <v>96</v>
      </c>
      <c r="I188">
        <v>15</v>
      </c>
      <c r="J188">
        <v>0</v>
      </c>
      <c r="K188">
        <v>50</v>
      </c>
      <c r="L188">
        <v>4</v>
      </c>
      <c r="N188">
        <v>150</v>
      </c>
      <c r="O188" s="4">
        <v>90</v>
      </c>
      <c r="Q188" s="2"/>
      <c r="S188" s="2"/>
      <c r="T188" s="2"/>
    </row>
    <row r="189" spans="1:20" x14ac:dyDescent="0.3">
      <c r="A189" s="1">
        <v>44721</v>
      </c>
      <c r="B189">
        <v>3335</v>
      </c>
      <c r="C189">
        <v>1431</v>
      </c>
      <c r="D189" s="2">
        <v>7.4516129032258061</v>
      </c>
      <c r="E189" s="2">
        <v>214.66666666666666</v>
      </c>
      <c r="F189">
        <v>30</v>
      </c>
      <c r="G189">
        <v>24.100000381469702</v>
      </c>
      <c r="H189" s="3">
        <v>96</v>
      </c>
      <c r="I189">
        <v>10</v>
      </c>
      <c r="J189">
        <v>0</v>
      </c>
      <c r="K189">
        <v>35</v>
      </c>
      <c r="L189">
        <v>2</v>
      </c>
      <c r="N189">
        <v>30</v>
      </c>
      <c r="O189" s="4">
        <v>91</v>
      </c>
      <c r="Q189" s="2"/>
      <c r="S189" s="2"/>
      <c r="T189" s="2"/>
    </row>
    <row r="190" spans="1:20" x14ac:dyDescent="0.3">
      <c r="A190" s="1">
        <v>44722</v>
      </c>
      <c r="B190">
        <v>3821</v>
      </c>
      <c r="C190">
        <v>1444</v>
      </c>
      <c r="D190" s="2">
        <v>6.032258064516129</v>
      </c>
      <c r="E190" s="2">
        <v>192</v>
      </c>
      <c r="F190">
        <v>39</v>
      </c>
      <c r="G190">
        <v>23.889999389648398</v>
      </c>
      <c r="H190" s="3">
        <v>98</v>
      </c>
      <c r="I190">
        <v>15</v>
      </c>
      <c r="J190">
        <v>0</v>
      </c>
      <c r="K190">
        <v>40</v>
      </c>
      <c r="L190">
        <v>2</v>
      </c>
      <c r="N190">
        <v>30</v>
      </c>
      <c r="O190" s="4">
        <v>92</v>
      </c>
      <c r="Q190" s="2"/>
      <c r="S190" s="2"/>
      <c r="T190" s="2"/>
    </row>
    <row r="191" spans="1:20" x14ac:dyDescent="0.3">
      <c r="A191" s="1">
        <v>44723</v>
      </c>
      <c r="B191">
        <v>2547</v>
      </c>
      <c r="C191">
        <v>1373</v>
      </c>
      <c r="D191" s="2">
        <v>6.467741935483871</v>
      </c>
      <c r="E191" s="2">
        <v>289.33333333333331</v>
      </c>
      <c r="F191">
        <v>38</v>
      </c>
      <c r="G191">
        <v>23.889999389648398</v>
      </c>
      <c r="H191" s="3">
        <v>99</v>
      </c>
      <c r="I191">
        <v>20</v>
      </c>
      <c r="J191">
        <v>0</v>
      </c>
      <c r="K191">
        <v>50</v>
      </c>
      <c r="L191">
        <v>4</v>
      </c>
      <c r="N191">
        <v>35</v>
      </c>
      <c r="O191" s="4">
        <v>70</v>
      </c>
      <c r="Q191" s="2"/>
      <c r="S191" s="2"/>
      <c r="T191" s="2"/>
    </row>
    <row r="192" spans="1:20" x14ac:dyDescent="0.3">
      <c r="A192" s="1">
        <v>44724</v>
      </c>
      <c r="B192">
        <v>838</v>
      </c>
      <c r="C192">
        <v>1214</v>
      </c>
      <c r="D192" s="2">
        <v>5.82258064516129</v>
      </c>
      <c r="E192" s="2">
        <v>547.66666666666663</v>
      </c>
      <c r="F192">
        <v>42</v>
      </c>
      <c r="G192">
        <v>23.959999084472699</v>
      </c>
      <c r="H192" s="3">
        <v>98</v>
      </c>
      <c r="I192">
        <v>10</v>
      </c>
      <c r="J192">
        <v>0</v>
      </c>
      <c r="K192">
        <v>40</v>
      </c>
      <c r="L192">
        <v>6</v>
      </c>
      <c r="N192">
        <v>120</v>
      </c>
      <c r="O192" s="4">
        <v>71</v>
      </c>
      <c r="Q192" s="2"/>
      <c r="S192" s="2"/>
      <c r="T192" s="2"/>
    </row>
    <row r="193" spans="1:20" x14ac:dyDescent="0.3">
      <c r="A193" s="1">
        <v>44725</v>
      </c>
      <c r="B193">
        <v>3325</v>
      </c>
      <c r="C193">
        <v>1419</v>
      </c>
      <c r="D193" s="2">
        <v>7.370967741935484</v>
      </c>
      <c r="E193" s="2">
        <v>377</v>
      </c>
      <c r="F193">
        <v>48</v>
      </c>
      <c r="G193">
        <v>23.819999694824201</v>
      </c>
      <c r="H193" s="3">
        <v>96</v>
      </c>
      <c r="I193">
        <v>15</v>
      </c>
      <c r="J193">
        <v>0</v>
      </c>
      <c r="K193">
        <v>45</v>
      </c>
      <c r="L193">
        <v>6</v>
      </c>
      <c r="N193">
        <v>140</v>
      </c>
      <c r="O193" s="4">
        <v>72</v>
      </c>
      <c r="Q193" s="2"/>
      <c r="S193" s="2"/>
      <c r="T193" s="2"/>
    </row>
    <row r="194" spans="1:20" x14ac:dyDescent="0.3">
      <c r="A194" s="1">
        <v>44726</v>
      </c>
      <c r="B194">
        <v>2424</v>
      </c>
      <c r="C194">
        <v>1356</v>
      </c>
      <c r="D194" s="2">
        <v>6.532258064516129</v>
      </c>
      <c r="E194" s="2">
        <v>289.33333333333331</v>
      </c>
      <c r="F194">
        <v>50</v>
      </c>
      <c r="G194">
        <v>24.100000381469702</v>
      </c>
      <c r="H194" s="3">
        <v>97</v>
      </c>
      <c r="I194">
        <v>20</v>
      </c>
      <c r="J194">
        <v>0</v>
      </c>
      <c r="K194">
        <v>60</v>
      </c>
      <c r="L194">
        <v>8</v>
      </c>
      <c r="N194">
        <v>180</v>
      </c>
      <c r="O194" s="4">
        <v>73</v>
      </c>
      <c r="Q194" s="2"/>
      <c r="S194" s="2"/>
      <c r="T194" s="2"/>
    </row>
    <row r="195" spans="1:20" x14ac:dyDescent="0.3">
      <c r="A195" s="1">
        <v>44727</v>
      </c>
      <c r="B195">
        <v>7222</v>
      </c>
      <c r="C195">
        <v>1667</v>
      </c>
      <c r="D195" s="2">
        <v>8.0483870967741939</v>
      </c>
      <c r="E195" s="2">
        <v>303.33333333333331</v>
      </c>
      <c r="F195">
        <v>57</v>
      </c>
      <c r="G195">
        <v>24</v>
      </c>
      <c r="H195" s="3">
        <v>111</v>
      </c>
      <c r="I195">
        <v>15</v>
      </c>
      <c r="J195">
        <v>0</v>
      </c>
      <c r="K195">
        <v>40</v>
      </c>
      <c r="L195">
        <v>6</v>
      </c>
      <c r="N195">
        <v>30</v>
      </c>
      <c r="O195" s="4">
        <v>74</v>
      </c>
      <c r="Q195" s="2"/>
      <c r="S195" s="2"/>
      <c r="T195" s="2"/>
    </row>
    <row r="196" spans="1:20" x14ac:dyDescent="0.3">
      <c r="A196" s="1">
        <v>44728</v>
      </c>
      <c r="B196">
        <v>2467</v>
      </c>
      <c r="C196">
        <v>1370</v>
      </c>
      <c r="D196" s="2">
        <v>7.790322580645161</v>
      </c>
      <c r="E196" s="2">
        <v>479</v>
      </c>
      <c r="F196">
        <v>42</v>
      </c>
      <c r="G196">
        <v>23.819999694824201</v>
      </c>
      <c r="H196" s="3">
        <v>116</v>
      </c>
      <c r="I196">
        <v>20</v>
      </c>
      <c r="J196">
        <v>0</v>
      </c>
      <c r="K196">
        <v>50</v>
      </c>
      <c r="L196">
        <v>6</v>
      </c>
      <c r="N196">
        <v>30</v>
      </c>
      <c r="O196" s="4">
        <v>75</v>
      </c>
      <c r="Q196" s="2"/>
      <c r="S196" s="2"/>
      <c r="T196" s="2"/>
    </row>
    <row r="197" spans="1:20" x14ac:dyDescent="0.3">
      <c r="A197" s="1">
        <v>44729</v>
      </c>
      <c r="B197">
        <v>2915</v>
      </c>
      <c r="C197">
        <v>1399</v>
      </c>
      <c r="D197" s="2">
        <v>2.032258064516129</v>
      </c>
      <c r="E197" s="2">
        <v>581</v>
      </c>
      <c r="F197">
        <v>49</v>
      </c>
      <c r="G197">
        <v>25</v>
      </c>
      <c r="H197" s="3">
        <v>117</v>
      </c>
      <c r="I197">
        <v>25</v>
      </c>
      <c r="J197">
        <v>0</v>
      </c>
      <c r="K197">
        <v>60</v>
      </c>
      <c r="L197">
        <v>8</v>
      </c>
      <c r="N197">
        <v>35</v>
      </c>
      <c r="O197" s="4">
        <v>76</v>
      </c>
      <c r="Q197" s="2"/>
      <c r="S197" s="2"/>
      <c r="T197" s="2"/>
    </row>
    <row r="198" spans="1:20" x14ac:dyDescent="0.3">
      <c r="A198" s="1">
        <v>44730</v>
      </c>
      <c r="B198">
        <v>12357</v>
      </c>
      <c r="C198">
        <v>1916</v>
      </c>
      <c r="D198" s="2">
        <v>1.6612903225806452</v>
      </c>
      <c r="E198" s="2">
        <v>455.33333333333331</v>
      </c>
      <c r="F198">
        <v>31</v>
      </c>
      <c r="G198">
        <v>21</v>
      </c>
      <c r="H198" s="3">
        <v>113</v>
      </c>
      <c r="I198">
        <v>4</v>
      </c>
      <c r="J198">
        <v>0</v>
      </c>
      <c r="K198">
        <v>4</v>
      </c>
      <c r="L198">
        <v>0</v>
      </c>
      <c r="N198">
        <v>40</v>
      </c>
      <c r="O198" s="4">
        <v>77</v>
      </c>
      <c r="Q198" s="2"/>
      <c r="S198" s="2"/>
      <c r="T198" s="2"/>
    </row>
    <row r="199" spans="1:20" x14ac:dyDescent="0.3">
      <c r="A199" s="1">
        <v>44731</v>
      </c>
      <c r="B199">
        <v>3490</v>
      </c>
      <c r="C199">
        <v>1401</v>
      </c>
      <c r="D199" s="2">
        <v>2.7580645161290325</v>
      </c>
      <c r="E199" s="2">
        <v>455.33333333333331</v>
      </c>
      <c r="F199">
        <v>37</v>
      </c>
      <c r="G199">
        <v>21.16</v>
      </c>
      <c r="H199" s="3">
        <v>112</v>
      </c>
      <c r="I199">
        <v>4</v>
      </c>
      <c r="J199">
        <v>0</v>
      </c>
      <c r="K199">
        <v>4</v>
      </c>
      <c r="L199">
        <v>0</v>
      </c>
      <c r="N199">
        <v>60</v>
      </c>
      <c r="O199" s="4">
        <v>78</v>
      </c>
      <c r="Q199" s="2"/>
      <c r="S199" s="2"/>
      <c r="T199" s="2"/>
    </row>
    <row r="200" spans="1:20" x14ac:dyDescent="0.3">
      <c r="A200" s="1">
        <v>44732</v>
      </c>
      <c r="B200">
        <v>6017</v>
      </c>
      <c r="C200">
        <v>1576</v>
      </c>
      <c r="D200" s="2">
        <v>1.8548387096774193</v>
      </c>
      <c r="E200" s="2">
        <v>304.66666666666669</v>
      </c>
      <c r="F200">
        <v>49</v>
      </c>
      <c r="G200">
        <v>25.590000152587901</v>
      </c>
      <c r="H200" s="3">
        <v>111</v>
      </c>
      <c r="I200">
        <v>6</v>
      </c>
      <c r="J200">
        <v>0</v>
      </c>
      <c r="K200">
        <v>8</v>
      </c>
      <c r="L200">
        <v>0</v>
      </c>
      <c r="N200">
        <v>80</v>
      </c>
      <c r="O200" s="4">
        <v>79</v>
      </c>
      <c r="Q200" s="2"/>
      <c r="S200" s="2"/>
      <c r="T200" s="2"/>
    </row>
    <row r="201" spans="1:20" x14ac:dyDescent="0.3">
      <c r="A201" s="1">
        <v>44733</v>
      </c>
      <c r="B201">
        <v>5933</v>
      </c>
      <c r="C201">
        <v>1595</v>
      </c>
      <c r="D201" s="2">
        <v>1.9838709677419355</v>
      </c>
      <c r="E201" s="2">
        <v>304.66666666666669</v>
      </c>
      <c r="F201">
        <v>32</v>
      </c>
      <c r="G201">
        <v>25.530000686645501</v>
      </c>
      <c r="H201" s="3">
        <v>113</v>
      </c>
      <c r="I201">
        <v>4</v>
      </c>
      <c r="J201">
        <v>0</v>
      </c>
      <c r="K201">
        <v>4</v>
      </c>
      <c r="L201">
        <v>0</v>
      </c>
      <c r="N201">
        <v>40</v>
      </c>
      <c r="O201" s="4">
        <v>80</v>
      </c>
      <c r="Q201" s="2"/>
      <c r="S201" s="2"/>
      <c r="T201" s="2"/>
    </row>
    <row r="202" spans="1:20" x14ac:dyDescent="0.3">
      <c r="A202" s="1">
        <v>44734</v>
      </c>
      <c r="B202">
        <v>6088</v>
      </c>
      <c r="C202">
        <v>1593</v>
      </c>
      <c r="D202" s="2">
        <v>6.854838709677419</v>
      </c>
      <c r="E202" s="2">
        <v>482.66666666666669</v>
      </c>
      <c r="F202">
        <v>24</v>
      </c>
      <c r="G202">
        <v>25.409999847412099</v>
      </c>
      <c r="H202" s="3">
        <v>113</v>
      </c>
      <c r="I202">
        <v>4</v>
      </c>
      <c r="J202">
        <v>0</v>
      </c>
      <c r="K202">
        <v>4</v>
      </c>
      <c r="L202">
        <v>0</v>
      </c>
      <c r="N202">
        <v>60</v>
      </c>
      <c r="O202" s="4">
        <v>81</v>
      </c>
      <c r="Q202" s="2"/>
      <c r="S202" s="2"/>
      <c r="T202" s="2"/>
    </row>
    <row r="203" spans="1:20" x14ac:dyDescent="0.3">
      <c r="A203" s="1">
        <v>44735</v>
      </c>
      <c r="B203">
        <v>6375</v>
      </c>
      <c r="C203">
        <v>1649</v>
      </c>
      <c r="D203" s="2">
        <v>6.4516129032258061</v>
      </c>
      <c r="E203" s="2">
        <v>214.66666666666666</v>
      </c>
      <c r="F203">
        <v>34</v>
      </c>
      <c r="G203">
        <v>25.2600002288818</v>
      </c>
      <c r="H203" s="3">
        <v>113</v>
      </c>
      <c r="I203">
        <v>6</v>
      </c>
      <c r="J203">
        <v>0</v>
      </c>
      <c r="K203">
        <v>6</v>
      </c>
      <c r="L203">
        <v>0</v>
      </c>
      <c r="N203">
        <v>80</v>
      </c>
      <c r="O203" s="4">
        <v>82</v>
      </c>
      <c r="Q203" s="2"/>
      <c r="S203" s="2"/>
      <c r="T203" s="2"/>
    </row>
    <row r="204" spans="1:20" x14ac:dyDescent="0.3">
      <c r="A204" s="1">
        <v>44736</v>
      </c>
      <c r="B204">
        <v>7604</v>
      </c>
      <c r="C204">
        <v>1692</v>
      </c>
      <c r="D204" s="2">
        <v>6.193548387096774</v>
      </c>
      <c r="E204" s="2">
        <v>304.66666666666669</v>
      </c>
      <c r="F204">
        <v>48</v>
      </c>
      <c r="G204">
        <v>25.440000534057599</v>
      </c>
      <c r="H204" s="3">
        <v>114</v>
      </c>
      <c r="I204">
        <v>4</v>
      </c>
      <c r="J204">
        <v>0</v>
      </c>
      <c r="K204">
        <v>4</v>
      </c>
      <c r="L204">
        <v>0</v>
      </c>
      <c r="N204">
        <v>40</v>
      </c>
      <c r="O204" s="4">
        <v>83</v>
      </c>
      <c r="Q204" s="2"/>
      <c r="S204" s="2"/>
      <c r="T204" s="2"/>
    </row>
    <row r="205" spans="1:20" x14ac:dyDescent="0.3">
      <c r="A205" s="1">
        <v>44737</v>
      </c>
      <c r="B205">
        <v>4729</v>
      </c>
      <c r="C205">
        <v>1506</v>
      </c>
      <c r="D205" s="2">
        <v>4.080645161290323</v>
      </c>
      <c r="E205" s="2">
        <v>304.66666666666669</v>
      </c>
      <c r="F205">
        <v>40</v>
      </c>
      <c r="G205">
        <v>25.559999465942401</v>
      </c>
      <c r="H205" s="3">
        <v>117</v>
      </c>
      <c r="I205">
        <v>4</v>
      </c>
      <c r="J205">
        <v>0</v>
      </c>
      <c r="K205">
        <v>4</v>
      </c>
      <c r="L205">
        <v>0</v>
      </c>
      <c r="N205">
        <v>60</v>
      </c>
      <c r="O205" s="4">
        <v>84</v>
      </c>
      <c r="Q205" s="2"/>
      <c r="S205" s="2"/>
      <c r="T205" s="2"/>
    </row>
    <row r="206" spans="1:20" x14ac:dyDescent="0.3">
      <c r="A206" s="1">
        <v>44738</v>
      </c>
      <c r="B206">
        <v>3609</v>
      </c>
      <c r="C206">
        <v>1447</v>
      </c>
      <c r="D206" s="2">
        <v>6.161290322580645</v>
      </c>
      <c r="E206" s="2">
        <v>464.66666666666669</v>
      </c>
      <c r="F206">
        <v>48</v>
      </c>
      <c r="G206">
        <v>25.610000610351602</v>
      </c>
      <c r="H206" s="3">
        <v>118</v>
      </c>
      <c r="I206">
        <v>6</v>
      </c>
      <c r="J206">
        <v>0</v>
      </c>
      <c r="K206">
        <v>8</v>
      </c>
      <c r="L206">
        <v>0</v>
      </c>
      <c r="N206">
        <v>80</v>
      </c>
      <c r="O206" s="4">
        <v>85</v>
      </c>
      <c r="Q206" s="2"/>
      <c r="S206" s="2"/>
      <c r="T206" s="2"/>
    </row>
    <row r="207" spans="1:20" x14ac:dyDescent="0.3">
      <c r="A207" s="1">
        <v>44739</v>
      </c>
      <c r="B207">
        <v>7018</v>
      </c>
      <c r="C207">
        <v>1690</v>
      </c>
      <c r="D207" s="2">
        <v>9.5322580645161299</v>
      </c>
      <c r="E207" s="2">
        <v>214.66666666666666</v>
      </c>
      <c r="F207">
        <v>39</v>
      </c>
      <c r="G207">
        <v>25.559999465942401</v>
      </c>
      <c r="H207" s="3">
        <v>117</v>
      </c>
      <c r="I207">
        <v>4</v>
      </c>
      <c r="J207">
        <v>0</v>
      </c>
      <c r="K207">
        <v>4</v>
      </c>
      <c r="L207">
        <v>0</v>
      </c>
      <c r="N207">
        <v>40</v>
      </c>
      <c r="O207" s="4">
        <v>86</v>
      </c>
      <c r="Q207" s="2"/>
      <c r="S207" s="2"/>
      <c r="T207" s="2"/>
    </row>
    <row r="208" spans="1:20" x14ac:dyDescent="0.3">
      <c r="A208" s="1">
        <v>44740</v>
      </c>
      <c r="B208">
        <v>5992</v>
      </c>
      <c r="C208">
        <v>1604</v>
      </c>
      <c r="D208" s="2">
        <v>4.725806451612903</v>
      </c>
      <c r="E208" s="2">
        <v>367.66666666666669</v>
      </c>
      <c r="F208">
        <v>53</v>
      </c>
      <c r="G208">
        <v>25.139999389648398</v>
      </c>
      <c r="H208" s="3">
        <v>118</v>
      </c>
      <c r="I208">
        <v>4</v>
      </c>
      <c r="J208">
        <v>0</v>
      </c>
      <c r="K208">
        <v>4</v>
      </c>
      <c r="L208">
        <v>0</v>
      </c>
      <c r="N208">
        <v>60</v>
      </c>
      <c r="O208" s="4">
        <v>87</v>
      </c>
      <c r="Q208" s="2"/>
      <c r="S208" s="2"/>
      <c r="T208" s="2"/>
    </row>
    <row r="209" spans="1:20" x14ac:dyDescent="0.3">
      <c r="A209" s="1">
        <v>44741</v>
      </c>
      <c r="B209">
        <v>6564</v>
      </c>
      <c r="C209">
        <v>1658</v>
      </c>
      <c r="D209" s="2">
        <v>7.370967741935484</v>
      </c>
      <c r="E209" s="2">
        <v>455.33333333333331</v>
      </c>
      <c r="F209">
        <v>73</v>
      </c>
      <c r="G209">
        <f>(G208+1)</f>
        <v>26.139999389648398</v>
      </c>
      <c r="H209" s="3">
        <v>117</v>
      </c>
      <c r="I209">
        <v>6</v>
      </c>
      <c r="J209">
        <v>0</v>
      </c>
      <c r="K209">
        <v>8</v>
      </c>
      <c r="L209">
        <v>0</v>
      </c>
      <c r="N209">
        <v>80</v>
      </c>
      <c r="O209" s="4">
        <v>60</v>
      </c>
      <c r="Q209" s="2"/>
      <c r="S209" s="2"/>
      <c r="T209" s="2"/>
    </row>
    <row r="210" spans="1:20" x14ac:dyDescent="0.3">
      <c r="A210" s="1">
        <v>44742</v>
      </c>
      <c r="B210">
        <v>12167</v>
      </c>
      <c r="C210">
        <v>1926</v>
      </c>
      <c r="D210" s="2">
        <v>7.32258064516129</v>
      </c>
      <c r="E210" s="2">
        <v>214.66666666666666</v>
      </c>
      <c r="F210">
        <v>80</v>
      </c>
      <c r="G210">
        <f t="shared" ref="G210:G211" si="10">(G209+1)</f>
        <v>27.139999389648398</v>
      </c>
      <c r="H210" s="3">
        <v>118</v>
      </c>
      <c r="I210">
        <v>4</v>
      </c>
      <c r="J210">
        <v>0</v>
      </c>
      <c r="K210">
        <v>4</v>
      </c>
      <c r="L210">
        <v>0</v>
      </c>
      <c r="N210">
        <v>40</v>
      </c>
      <c r="O210" s="4">
        <v>58</v>
      </c>
      <c r="Q210" s="2"/>
      <c r="S210" s="2"/>
      <c r="T210" s="2"/>
    </row>
    <row r="211" spans="1:20" x14ac:dyDescent="0.3">
      <c r="A211" s="1">
        <v>44743</v>
      </c>
      <c r="B211">
        <v>8198</v>
      </c>
      <c r="C211">
        <v>1736</v>
      </c>
      <c r="D211" s="2">
        <v>6.854838709677419</v>
      </c>
      <c r="E211" s="2">
        <v>304.66666666666669</v>
      </c>
      <c r="F211">
        <v>57</v>
      </c>
      <c r="G211">
        <f t="shared" si="10"/>
        <v>28.139999389648398</v>
      </c>
      <c r="H211" s="3">
        <v>119</v>
      </c>
      <c r="I211">
        <v>4</v>
      </c>
      <c r="J211">
        <v>0</v>
      </c>
      <c r="K211">
        <v>4</v>
      </c>
      <c r="L211">
        <v>0</v>
      </c>
      <c r="N211">
        <v>60</v>
      </c>
      <c r="O211" s="4">
        <v>56</v>
      </c>
      <c r="Q211" s="2"/>
      <c r="S211" s="2"/>
      <c r="T211" s="2"/>
    </row>
    <row r="212" spans="1:20" x14ac:dyDescent="0.3">
      <c r="A212" s="1">
        <v>44744</v>
      </c>
      <c r="B212">
        <v>4193</v>
      </c>
      <c r="C212">
        <v>1491</v>
      </c>
      <c r="D212" s="2">
        <v>7.5</v>
      </c>
      <c r="E212" s="2">
        <v>289.33333333333331</v>
      </c>
      <c r="F212">
        <v>63</v>
      </c>
      <c r="G212">
        <v>27.450000762939499</v>
      </c>
      <c r="H212">
        <v>116</v>
      </c>
      <c r="I212">
        <v>6</v>
      </c>
      <c r="J212">
        <v>0</v>
      </c>
      <c r="K212">
        <v>8</v>
      </c>
      <c r="L212">
        <v>0</v>
      </c>
      <c r="N212">
        <v>80</v>
      </c>
      <c r="O212" s="4">
        <v>54</v>
      </c>
      <c r="Q212" s="2"/>
      <c r="S212" s="2"/>
      <c r="T212" s="2"/>
    </row>
    <row r="213" spans="1:20" x14ac:dyDescent="0.3">
      <c r="A213" s="1">
        <v>44745</v>
      </c>
      <c r="B213">
        <v>5528</v>
      </c>
      <c r="C213">
        <v>1555</v>
      </c>
      <c r="D213" s="2">
        <v>7.741935483870968</v>
      </c>
      <c r="E213" s="2">
        <v>377</v>
      </c>
      <c r="F213">
        <v>87</v>
      </c>
      <c r="G213">
        <v>27.379999160766602</v>
      </c>
      <c r="H213">
        <v>192</v>
      </c>
      <c r="I213">
        <v>10</v>
      </c>
      <c r="J213">
        <v>0</v>
      </c>
      <c r="K213">
        <v>25</v>
      </c>
      <c r="L213">
        <v>4</v>
      </c>
      <c r="N213">
        <v>100</v>
      </c>
      <c r="O213" s="4">
        <v>52</v>
      </c>
      <c r="Q213" s="2"/>
      <c r="S213" s="2"/>
      <c r="T213" s="2"/>
    </row>
    <row r="214" spans="1:20" x14ac:dyDescent="0.3">
      <c r="A214" s="1">
        <v>44746</v>
      </c>
      <c r="B214">
        <v>10685</v>
      </c>
      <c r="C214">
        <v>1869</v>
      </c>
      <c r="D214" s="2">
        <v>5.967741935483871</v>
      </c>
      <c r="E214" s="2">
        <v>377</v>
      </c>
      <c r="F214">
        <v>93</v>
      </c>
      <c r="G214">
        <v>27.25</v>
      </c>
      <c r="H214">
        <v>48</v>
      </c>
      <c r="I214">
        <v>10</v>
      </c>
      <c r="J214">
        <v>0</v>
      </c>
      <c r="K214">
        <v>30</v>
      </c>
      <c r="L214">
        <v>6</v>
      </c>
      <c r="N214">
        <v>110</v>
      </c>
      <c r="O214" s="4">
        <v>50</v>
      </c>
      <c r="Q214" s="2"/>
      <c r="S214" s="2"/>
      <c r="T214" s="2"/>
    </row>
    <row r="215" spans="1:20" x14ac:dyDescent="0.3">
      <c r="A215" s="1">
        <v>44747</v>
      </c>
      <c r="B215">
        <v>254</v>
      </c>
      <c r="C215">
        <v>1141</v>
      </c>
      <c r="D215" s="2">
        <v>6.790322580645161</v>
      </c>
      <c r="E215" s="2">
        <v>462.33333333333331</v>
      </c>
      <c r="F215">
        <v>70</v>
      </c>
      <c r="G215">
        <v>27.459999084472699</v>
      </c>
      <c r="H215">
        <v>60</v>
      </c>
      <c r="I215">
        <v>15</v>
      </c>
      <c r="J215">
        <v>0</v>
      </c>
      <c r="K215">
        <v>40</v>
      </c>
      <c r="L215">
        <v>8</v>
      </c>
      <c r="N215">
        <v>150</v>
      </c>
      <c r="O215" s="4">
        <v>48</v>
      </c>
      <c r="Q215" s="2"/>
      <c r="S215" s="2"/>
      <c r="T215" s="2"/>
    </row>
    <row r="216" spans="1:20" x14ac:dyDescent="0.3">
      <c r="A216" s="1">
        <v>44748</v>
      </c>
      <c r="B216">
        <v>8580</v>
      </c>
      <c r="C216">
        <v>1698</v>
      </c>
      <c r="D216" s="2">
        <v>6.967741935483871</v>
      </c>
      <c r="E216" s="2">
        <v>459</v>
      </c>
      <c r="F216">
        <v>77</v>
      </c>
      <c r="G216">
        <v>27.319999694824201</v>
      </c>
      <c r="H216">
        <v>96</v>
      </c>
      <c r="I216">
        <v>10</v>
      </c>
      <c r="J216">
        <v>0</v>
      </c>
      <c r="K216">
        <v>25</v>
      </c>
      <c r="L216">
        <v>4</v>
      </c>
      <c r="N216">
        <v>45</v>
      </c>
      <c r="O216" s="4">
        <v>46</v>
      </c>
      <c r="Q216" s="2"/>
      <c r="S216" s="2"/>
      <c r="T216" s="2"/>
    </row>
    <row r="217" spans="1:20" x14ac:dyDescent="0.3">
      <c r="A217" s="1">
        <v>44749</v>
      </c>
      <c r="B217">
        <v>8891</v>
      </c>
      <c r="C217">
        <v>1364</v>
      </c>
      <c r="D217" s="2">
        <v>7.129032258064516</v>
      </c>
      <c r="E217" s="2">
        <v>304.66666666666669</v>
      </c>
      <c r="F217">
        <v>87</v>
      </c>
      <c r="G217">
        <v>24</v>
      </c>
      <c r="H217">
        <v>156</v>
      </c>
      <c r="I217">
        <v>15</v>
      </c>
      <c r="J217">
        <v>0</v>
      </c>
      <c r="K217">
        <v>30</v>
      </c>
      <c r="L217">
        <v>6</v>
      </c>
      <c r="N217">
        <v>45</v>
      </c>
      <c r="O217" s="4">
        <v>44</v>
      </c>
      <c r="Q217" s="2"/>
      <c r="S217" s="2"/>
      <c r="T217" s="2"/>
    </row>
    <row r="218" spans="1:20" x14ac:dyDescent="0.3">
      <c r="A218" s="1">
        <v>44750</v>
      </c>
      <c r="B218">
        <v>10725</v>
      </c>
      <c r="C218">
        <v>2124</v>
      </c>
      <c r="D218" s="2">
        <v>6.9838709677419351</v>
      </c>
      <c r="E218" s="2">
        <v>225.33333333333334</v>
      </c>
      <c r="F218">
        <v>90</v>
      </c>
      <c r="G218">
        <v>24.209999084472699</v>
      </c>
      <c r="H218">
        <v>88</v>
      </c>
      <c r="I218">
        <v>20</v>
      </c>
      <c r="J218">
        <v>0</v>
      </c>
      <c r="K218">
        <v>45</v>
      </c>
      <c r="L218">
        <v>8</v>
      </c>
      <c r="N218">
        <v>50</v>
      </c>
      <c r="O218" s="4">
        <v>42</v>
      </c>
      <c r="Q218" s="2"/>
      <c r="S218" s="2"/>
      <c r="T218" s="2"/>
    </row>
    <row r="219" spans="1:20" x14ac:dyDescent="0.3">
      <c r="A219" s="1">
        <v>44751</v>
      </c>
      <c r="B219">
        <v>7275</v>
      </c>
      <c r="C219">
        <v>2003</v>
      </c>
      <c r="D219" s="2">
        <v>7.725806451612903</v>
      </c>
      <c r="E219" s="2">
        <v>563.33333333333337</v>
      </c>
      <c r="F219">
        <v>69</v>
      </c>
      <c r="G219">
        <v>23.959999084472699</v>
      </c>
      <c r="H219">
        <v>108</v>
      </c>
      <c r="I219">
        <v>10</v>
      </c>
      <c r="J219">
        <v>0</v>
      </c>
      <c r="K219">
        <v>25</v>
      </c>
      <c r="L219">
        <v>2</v>
      </c>
      <c r="N219">
        <v>100</v>
      </c>
      <c r="O219" s="4">
        <v>40</v>
      </c>
      <c r="Q219" s="2"/>
      <c r="S219" s="2"/>
      <c r="T219" s="2"/>
    </row>
    <row r="220" spans="1:20" x14ac:dyDescent="0.3">
      <c r="A220" s="1">
        <v>44752</v>
      </c>
      <c r="B220">
        <v>3973</v>
      </c>
      <c r="C220">
        <v>1696</v>
      </c>
      <c r="D220" s="2">
        <v>5.274193548387097</v>
      </c>
      <c r="E220" s="2">
        <v>563.33333333333337</v>
      </c>
      <c r="F220">
        <v>44</v>
      </c>
      <c r="G220">
        <v>23.889999389648398</v>
      </c>
      <c r="H220">
        <v>88</v>
      </c>
      <c r="I220">
        <v>10</v>
      </c>
      <c r="J220">
        <v>0</v>
      </c>
      <c r="K220">
        <v>30</v>
      </c>
      <c r="L220">
        <v>2</v>
      </c>
      <c r="N220">
        <v>110</v>
      </c>
      <c r="O220" s="4">
        <v>38</v>
      </c>
      <c r="Q220" s="2"/>
      <c r="S220" s="2"/>
      <c r="T220" s="2"/>
    </row>
    <row r="221" spans="1:20" x14ac:dyDescent="0.3">
      <c r="A221" s="1">
        <v>44753</v>
      </c>
      <c r="B221">
        <v>5205</v>
      </c>
      <c r="C221">
        <v>1801</v>
      </c>
      <c r="D221" s="2">
        <v>6.645161290322581</v>
      </c>
      <c r="E221" s="2">
        <v>424.33333333333331</v>
      </c>
      <c r="F221">
        <v>36</v>
      </c>
      <c r="G221">
        <v>23.959999084472699</v>
      </c>
      <c r="H221">
        <v>88</v>
      </c>
      <c r="I221">
        <v>15</v>
      </c>
      <c r="J221">
        <v>0</v>
      </c>
      <c r="K221">
        <v>40</v>
      </c>
      <c r="L221">
        <v>4</v>
      </c>
      <c r="N221">
        <v>150</v>
      </c>
      <c r="O221" s="4">
        <v>36</v>
      </c>
      <c r="Q221" s="2"/>
      <c r="S221" s="2"/>
      <c r="T221" s="2"/>
    </row>
    <row r="222" spans="1:20" x14ac:dyDescent="0.3">
      <c r="A222" s="1">
        <v>44754</v>
      </c>
      <c r="B222">
        <v>5057</v>
      </c>
      <c r="C222">
        <v>1724</v>
      </c>
      <c r="D222" s="2">
        <v>6.67741935483871</v>
      </c>
      <c r="E222" s="2">
        <v>424.33333333333331</v>
      </c>
      <c r="F222">
        <v>31</v>
      </c>
      <c r="G222">
        <v>25</v>
      </c>
      <c r="H222">
        <v>88</v>
      </c>
      <c r="I222">
        <v>10</v>
      </c>
      <c r="J222">
        <v>0</v>
      </c>
      <c r="K222">
        <v>25</v>
      </c>
      <c r="L222">
        <v>2</v>
      </c>
      <c r="N222">
        <v>45</v>
      </c>
      <c r="O222" s="4">
        <v>34</v>
      </c>
      <c r="Q222" s="2"/>
      <c r="S222" s="2"/>
      <c r="T222" s="2"/>
    </row>
    <row r="223" spans="1:20" x14ac:dyDescent="0.3">
      <c r="A223" s="1">
        <v>44755</v>
      </c>
      <c r="B223">
        <v>6198</v>
      </c>
      <c r="C223">
        <v>1852</v>
      </c>
      <c r="D223" s="2">
        <v>6.5161290322580649</v>
      </c>
      <c r="E223" s="2">
        <v>169.33333333333334</v>
      </c>
      <c r="F223">
        <v>22</v>
      </c>
      <c r="G223">
        <v>25.16</v>
      </c>
      <c r="H223">
        <v>96</v>
      </c>
      <c r="I223">
        <v>15</v>
      </c>
      <c r="J223">
        <v>0</v>
      </c>
      <c r="K223">
        <v>30</v>
      </c>
      <c r="L223">
        <v>2</v>
      </c>
      <c r="N223">
        <v>45</v>
      </c>
      <c r="O223" s="4">
        <v>32</v>
      </c>
      <c r="Q223" s="2"/>
      <c r="S223" s="2"/>
      <c r="T223" s="2"/>
    </row>
    <row r="224" spans="1:20" x14ac:dyDescent="0.3">
      <c r="A224" s="1">
        <v>44756</v>
      </c>
      <c r="B224">
        <v>6559</v>
      </c>
      <c r="C224">
        <v>1905</v>
      </c>
      <c r="D224" s="2">
        <v>8.387096774193548</v>
      </c>
      <c r="E224" s="2">
        <v>169.33333333333334</v>
      </c>
      <c r="F224">
        <v>51</v>
      </c>
      <c r="G224">
        <v>24.100000381469702</v>
      </c>
      <c r="H224">
        <v>112</v>
      </c>
      <c r="I224">
        <v>20</v>
      </c>
      <c r="J224">
        <v>0</v>
      </c>
      <c r="K224">
        <v>45</v>
      </c>
      <c r="L224">
        <v>4</v>
      </c>
      <c r="N224">
        <v>50</v>
      </c>
      <c r="O224" s="4">
        <v>30</v>
      </c>
      <c r="Q224" s="2"/>
      <c r="S224" s="2"/>
      <c r="T224" s="2"/>
    </row>
    <row r="225" spans="1:20" x14ac:dyDescent="0.3">
      <c r="A225" s="1">
        <v>44757</v>
      </c>
      <c r="B225">
        <v>5997</v>
      </c>
      <c r="C225">
        <v>1811</v>
      </c>
      <c r="D225" s="2">
        <v>8.387096774193548</v>
      </c>
      <c r="E225" s="2">
        <v>182.33333333333334</v>
      </c>
      <c r="F225">
        <v>42</v>
      </c>
      <c r="G225">
        <v>23.889999389648398</v>
      </c>
      <c r="H225">
        <v>144</v>
      </c>
      <c r="I225">
        <v>15</v>
      </c>
      <c r="J225">
        <v>0</v>
      </c>
      <c r="K225">
        <v>20</v>
      </c>
      <c r="L225">
        <v>4</v>
      </c>
      <c r="N225">
        <v>160</v>
      </c>
      <c r="O225" s="4">
        <v>31</v>
      </c>
      <c r="Q225" s="2"/>
      <c r="S225" s="2"/>
      <c r="T225" s="2"/>
    </row>
    <row r="226" spans="1:20" x14ac:dyDescent="0.3">
      <c r="A226" s="1">
        <v>44758</v>
      </c>
      <c r="B226">
        <v>7192</v>
      </c>
      <c r="C226">
        <v>1922</v>
      </c>
      <c r="D226" s="2">
        <v>7.0161290322580649</v>
      </c>
      <c r="E226" s="2">
        <v>479</v>
      </c>
      <c r="F226">
        <v>15</v>
      </c>
      <c r="G226">
        <v>23.889999389648398</v>
      </c>
      <c r="H226">
        <v>160</v>
      </c>
      <c r="I226">
        <v>15</v>
      </c>
      <c r="J226">
        <v>0</v>
      </c>
      <c r="K226">
        <v>25</v>
      </c>
      <c r="L226">
        <v>4</v>
      </c>
      <c r="N226">
        <v>200</v>
      </c>
      <c r="O226" s="4">
        <v>32</v>
      </c>
      <c r="Q226" s="2"/>
      <c r="S226" s="2"/>
      <c r="T226" s="2"/>
    </row>
    <row r="227" spans="1:20" x14ac:dyDescent="0.3">
      <c r="A227" s="1">
        <v>44759</v>
      </c>
      <c r="B227">
        <v>3404</v>
      </c>
      <c r="C227">
        <v>1610</v>
      </c>
      <c r="D227" s="2">
        <v>6.709677419354839</v>
      </c>
      <c r="E227" s="2">
        <v>118.33333333333333</v>
      </c>
      <c r="F227">
        <v>15</v>
      </c>
      <c r="G227">
        <v>23.959999084472699</v>
      </c>
      <c r="H227">
        <v>128</v>
      </c>
      <c r="I227">
        <v>20</v>
      </c>
      <c r="J227">
        <v>0</v>
      </c>
      <c r="K227">
        <v>35</v>
      </c>
      <c r="L227">
        <v>4</v>
      </c>
      <c r="N227">
        <v>240</v>
      </c>
      <c r="O227" s="4">
        <v>33</v>
      </c>
      <c r="Q227" s="2"/>
      <c r="S227" s="2"/>
      <c r="T227" s="2"/>
    </row>
    <row r="228" spans="1:20" x14ac:dyDescent="0.3">
      <c r="A228" s="1">
        <v>44760</v>
      </c>
      <c r="B228">
        <v>5583</v>
      </c>
      <c r="C228">
        <v>1851</v>
      </c>
      <c r="D228" s="2">
        <v>5.709677419354839</v>
      </c>
      <c r="E228" s="2">
        <v>118.33333333333333</v>
      </c>
      <c r="F228">
        <v>35</v>
      </c>
      <c r="G228">
        <v>23.819999694824201</v>
      </c>
      <c r="H228">
        <v>144</v>
      </c>
      <c r="I228">
        <v>15</v>
      </c>
      <c r="J228">
        <v>0</v>
      </c>
      <c r="K228">
        <v>25</v>
      </c>
      <c r="L228">
        <v>2</v>
      </c>
      <c r="N228">
        <v>170</v>
      </c>
      <c r="O228" s="4">
        <v>34</v>
      </c>
      <c r="Q228" s="2"/>
      <c r="S228" s="2"/>
      <c r="T228" s="2"/>
    </row>
    <row r="229" spans="1:20" x14ac:dyDescent="0.3">
      <c r="A229" s="1">
        <v>44761</v>
      </c>
      <c r="B229">
        <v>5079</v>
      </c>
      <c r="C229">
        <v>1804</v>
      </c>
      <c r="D229" s="2">
        <v>6.5161290322580649</v>
      </c>
      <c r="E229" s="2">
        <v>214.66666666666666</v>
      </c>
      <c r="F229">
        <v>25</v>
      </c>
      <c r="G229">
        <v>24.100000381469702</v>
      </c>
      <c r="H229">
        <v>144</v>
      </c>
      <c r="I229">
        <v>20</v>
      </c>
      <c r="J229">
        <v>0</v>
      </c>
      <c r="K229">
        <v>30</v>
      </c>
      <c r="L229">
        <v>2</v>
      </c>
      <c r="N229">
        <v>200</v>
      </c>
      <c r="O229" s="4">
        <v>35</v>
      </c>
      <c r="Q229" s="2"/>
      <c r="S229" s="2"/>
      <c r="T229" s="2"/>
    </row>
    <row r="230" spans="1:20" x14ac:dyDescent="0.3">
      <c r="A230" s="1">
        <v>44762</v>
      </c>
      <c r="B230">
        <v>4165</v>
      </c>
      <c r="C230">
        <v>1725</v>
      </c>
      <c r="D230" s="2">
        <v>7.112903225806452</v>
      </c>
      <c r="E230" s="2">
        <v>394.66666666666669</v>
      </c>
      <c r="F230">
        <v>16</v>
      </c>
      <c r="G230">
        <v>24.16</v>
      </c>
      <c r="H230">
        <v>160</v>
      </c>
      <c r="I230">
        <v>20</v>
      </c>
      <c r="J230">
        <v>0</v>
      </c>
      <c r="K230">
        <v>35</v>
      </c>
      <c r="L230">
        <v>2</v>
      </c>
      <c r="N230">
        <v>250</v>
      </c>
      <c r="O230" s="4">
        <v>36</v>
      </c>
      <c r="Q230" s="2"/>
      <c r="S230" s="2"/>
      <c r="T230" s="2"/>
    </row>
    <row r="231" spans="1:20" x14ac:dyDescent="0.3">
      <c r="A231" s="1">
        <v>44763</v>
      </c>
      <c r="B231">
        <v>3588</v>
      </c>
      <c r="C231">
        <v>1654</v>
      </c>
      <c r="D231" s="2">
        <v>7.338709677419355</v>
      </c>
      <c r="E231" s="2">
        <v>367.66666666666669</v>
      </c>
      <c r="F231">
        <v>45</v>
      </c>
      <c r="G231">
        <v>23.819999694824201</v>
      </c>
      <c r="H231">
        <v>84</v>
      </c>
      <c r="I231">
        <v>15</v>
      </c>
      <c r="J231">
        <v>0</v>
      </c>
      <c r="K231">
        <v>25</v>
      </c>
      <c r="L231">
        <v>4</v>
      </c>
      <c r="N231">
        <v>200</v>
      </c>
      <c r="O231" s="4">
        <v>37</v>
      </c>
      <c r="Q231" s="2"/>
      <c r="S231" s="2"/>
      <c r="T231" s="2"/>
    </row>
    <row r="232" spans="1:20" x14ac:dyDescent="0.3">
      <c r="A232" s="1">
        <v>44764</v>
      </c>
      <c r="B232">
        <v>3409</v>
      </c>
      <c r="C232">
        <v>1632</v>
      </c>
      <c r="D232" s="2">
        <v>5.758064516129032</v>
      </c>
      <c r="E232" s="2">
        <v>247.66666666666666</v>
      </c>
      <c r="F232">
        <v>36</v>
      </c>
      <c r="G232">
        <v>23.850000381469702</v>
      </c>
      <c r="H232">
        <v>56</v>
      </c>
      <c r="I232">
        <v>15</v>
      </c>
      <c r="J232">
        <v>0</v>
      </c>
      <c r="K232">
        <v>30</v>
      </c>
      <c r="L232">
        <v>4</v>
      </c>
      <c r="N232">
        <v>240</v>
      </c>
      <c r="O232" s="4">
        <v>70</v>
      </c>
      <c r="Q232" s="2"/>
      <c r="S232" s="2"/>
      <c r="T232" s="2"/>
    </row>
    <row r="233" spans="1:20" x14ac:dyDescent="0.3">
      <c r="A233" s="1">
        <v>44765</v>
      </c>
      <c r="B233">
        <v>1715</v>
      </c>
      <c r="C233">
        <v>1481</v>
      </c>
      <c r="D233" s="2">
        <v>6.080645161290323</v>
      </c>
      <c r="E233" s="2">
        <v>214.66666666666666</v>
      </c>
      <c r="F233">
        <v>40</v>
      </c>
      <c r="G233">
        <v>23.889999389648398</v>
      </c>
      <c r="H233">
        <v>88</v>
      </c>
      <c r="I233">
        <v>20</v>
      </c>
      <c r="J233">
        <v>0</v>
      </c>
      <c r="K233">
        <v>35</v>
      </c>
      <c r="L233">
        <v>6</v>
      </c>
      <c r="N233">
        <v>280</v>
      </c>
      <c r="O233" s="4">
        <v>71</v>
      </c>
      <c r="Q233" s="2"/>
      <c r="S233" s="2"/>
      <c r="T233" s="2"/>
    </row>
    <row r="234" spans="1:20" x14ac:dyDescent="0.3">
      <c r="A234" s="1">
        <v>44766</v>
      </c>
      <c r="B234">
        <v>1532</v>
      </c>
      <c r="C234">
        <v>1473</v>
      </c>
      <c r="D234" s="2">
        <v>10.5</v>
      </c>
      <c r="E234" s="2">
        <v>247.66666666666666</v>
      </c>
      <c r="F234">
        <v>31</v>
      </c>
      <c r="G234">
        <v>23.889999389648398</v>
      </c>
      <c r="H234">
        <v>80</v>
      </c>
      <c r="I234">
        <v>0</v>
      </c>
      <c r="J234">
        <v>2</v>
      </c>
      <c r="K234">
        <v>6</v>
      </c>
      <c r="L234">
        <v>2</v>
      </c>
      <c r="N234">
        <v>5</v>
      </c>
      <c r="O234" s="4">
        <v>72</v>
      </c>
      <c r="Q234" s="2"/>
      <c r="S234" s="2"/>
      <c r="T234" s="2"/>
    </row>
    <row r="235" spans="1:20" x14ac:dyDescent="0.3">
      <c r="A235" s="1">
        <v>44767</v>
      </c>
      <c r="B235">
        <v>924</v>
      </c>
      <c r="C235">
        <v>1410</v>
      </c>
      <c r="D235" s="2">
        <v>5.645161290322581</v>
      </c>
      <c r="E235" s="2">
        <v>304.66666666666669</v>
      </c>
      <c r="F235">
        <v>40</v>
      </c>
      <c r="G235">
        <v>24.2399997711182</v>
      </c>
      <c r="H235">
        <v>56</v>
      </c>
      <c r="I235">
        <v>0</v>
      </c>
      <c r="J235">
        <v>4</v>
      </c>
      <c r="K235">
        <v>8</v>
      </c>
      <c r="L235">
        <v>2</v>
      </c>
      <c r="N235">
        <v>5</v>
      </c>
      <c r="O235" s="4">
        <v>73</v>
      </c>
      <c r="Q235" s="2"/>
      <c r="S235" s="2"/>
      <c r="T235" s="2"/>
    </row>
    <row r="236" spans="1:20" x14ac:dyDescent="0.3">
      <c r="A236" s="1">
        <v>44768</v>
      </c>
      <c r="B236">
        <v>4571</v>
      </c>
      <c r="C236">
        <v>1779</v>
      </c>
      <c r="D236" s="2">
        <v>8.387096774193548</v>
      </c>
      <c r="E236" s="2">
        <v>304.66666666666669</v>
      </c>
      <c r="F236">
        <v>32</v>
      </c>
      <c r="G236">
        <v>24.170000076293899</v>
      </c>
      <c r="H236">
        <v>86</v>
      </c>
      <c r="I236">
        <v>0</v>
      </c>
      <c r="J236">
        <v>4</v>
      </c>
      <c r="K236">
        <v>10</v>
      </c>
      <c r="L236">
        <v>2</v>
      </c>
      <c r="N236">
        <v>10</v>
      </c>
      <c r="O236" s="4">
        <v>74</v>
      </c>
      <c r="Q236" s="2"/>
      <c r="S236" s="2"/>
      <c r="T236" s="2"/>
    </row>
    <row r="237" spans="1:20" x14ac:dyDescent="0.3">
      <c r="A237" s="1">
        <v>44769</v>
      </c>
      <c r="B237">
        <v>772</v>
      </c>
      <c r="C237">
        <v>1403</v>
      </c>
      <c r="D237" s="2">
        <v>5.758064516129032</v>
      </c>
      <c r="E237" s="2">
        <v>304.66666666666669</v>
      </c>
      <c r="F237">
        <v>23</v>
      </c>
      <c r="G237">
        <v>24.170000076293899</v>
      </c>
      <c r="H237">
        <v>67</v>
      </c>
      <c r="I237">
        <v>0</v>
      </c>
      <c r="J237">
        <v>30</v>
      </c>
      <c r="K237">
        <v>8</v>
      </c>
      <c r="L237">
        <v>2</v>
      </c>
      <c r="N237">
        <v>5</v>
      </c>
      <c r="O237" s="4">
        <v>75</v>
      </c>
      <c r="Q237" s="2"/>
      <c r="S237" s="2"/>
      <c r="T237" s="2"/>
    </row>
    <row r="238" spans="1:20" x14ac:dyDescent="0.3">
      <c r="A238" s="1">
        <v>44770</v>
      </c>
      <c r="B238">
        <v>3634</v>
      </c>
      <c r="C238">
        <v>1613</v>
      </c>
      <c r="D238" s="2">
        <v>10.612903225806452</v>
      </c>
      <c r="E238" s="2">
        <v>214.66666666666666</v>
      </c>
      <c r="F238">
        <v>14</v>
      </c>
      <c r="G238">
        <v>25.680000305175799</v>
      </c>
      <c r="H238">
        <v>56</v>
      </c>
      <c r="I238">
        <v>0</v>
      </c>
      <c r="J238">
        <v>35</v>
      </c>
      <c r="K238">
        <v>8</v>
      </c>
      <c r="L238">
        <v>4</v>
      </c>
      <c r="N238">
        <v>5</v>
      </c>
      <c r="O238" s="4">
        <v>76</v>
      </c>
      <c r="Q238" s="2"/>
      <c r="S238" s="2"/>
      <c r="T238" s="2"/>
    </row>
    <row r="239" spans="1:20" x14ac:dyDescent="0.3">
      <c r="D239" s="2"/>
      <c r="E239" s="2"/>
      <c r="Q239" s="2"/>
      <c r="S239" s="2"/>
      <c r="T239" s="2"/>
    </row>
    <row r="240" spans="1:20" x14ac:dyDescent="0.3">
      <c r="D240" s="2"/>
      <c r="E240" s="2"/>
      <c r="Q240" s="2"/>
      <c r="S240" s="2"/>
      <c r="T240" s="2"/>
    </row>
    <row r="241" spans="4:20" x14ac:dyDescent="0.3">
      <c r="D241" s="2"/>
      <c r="E241" s="2"/>
      <c r="Q241" s="2"/>
      <c r="S241" s="2"/>
      <c r="T241" s="2"/>
    </row>
    <row r="242" spans="4:20" x14ac:dyDescent="0.3">
      <c r="D242" s="2"/>
      <c r="E242" s="2"/>
      <c r="Q242" s="2"/>
      <c r="S242" s="2"/>
      <c r="T242" s="2"/>
    </row>
    <row r="243" spans="4:20" x14ac:dyDescent="0.3">
      <c r="D243" s="2"/>
      <c r="E243" s="2"/>
      <c r="Q243" s="2"/>
      <c r="S243" s="2"/>
      <c r="T243" s="2"/>
    </row>
    <row r="244" spans="4:20" x14ac:dyDescent="0.3">
      <c r="D244" s="2"/>
      <c r="E244" s="2"/>
      <c r="Q244" s="2"/>
      <c r="S244" s="2"/>
      <c r="T244" s="2"/>
    </row>
    <row r="245" spans="4:20" x14ac:dyDescent="0.3">
      <c r="D245" s="2"/>
      <c r="E245" s="2"/>
      <c r="Q245" s="2"/>
      <c r="S245" s="2"/>
      <c r="T245" s="2"/>
    </row>
    <row r="246" spans="4:20" x14ac:dyDescent="0.3">
      <c r="D246" s="2"/>
      <c r="E246" s="2"/>
      <c r="Q246" s="2"/>
      <c r="S246" s="2"/>
      <c r="T246" s="2"/>
    </row>
    <row r="247" spans="4:20" x14ac:dyDescent="0.3">
      <c r="D247" s="2"/>
      <c r="E247" s="2"/>
      <c r="Q247" s="2"/>
      <c r="S247" s="2"/>
      <c r="T247" s="2"/>
    </row>
    <row r="248" spans="4:20" x14ac:dyDescent="0.3">
      <c r="D248" s="2"/>
      <c r="E248" s="2"/>
      <c r="Q248" s="2"/>
      <c r="S248" s="2"/>
      <c r="T248" s="2"/>
    </row>
    <row r="249" spans="4:20" x14ac:dyDescent="0.3">
      <c r="D249" s="2"/>
      <c r="E249" s="2"/>
      <c r="Q249" s="2"/>
      <c r="S249" s="2"/>
      <c r="T249" s="2"/>
    </row>
    <row r="250" spans="4:20" x14ac:dyDescent="0.3">
      <c r="D250" s="2"/>
      <c r="E250" s="2"/>
      <c r="Q250" s="2"/>
      <c r="S250" s="2"/>
      <c r="T250" s="2"/>
    </row>
    <row r="251" spans="4:20" x14ac:dyDescent="0.3">
      <c r="D251" s="2"/>
      <c r="E251" s="2"/>
      <c r="Q251" s="2"/>
      <c r="S251" s="2"/>
      <c r="T251" s="2"/>
    </row>
    <row r="252" spans="4:20" x14ac:dyDescent="0.3">
      <c r="D252" s="2"/>
      <c r="E252" s="2"/>
      <c r="Q252" s="2"/>
      <c r="S252" s="2"/>
      <c r="T252" s="2"/>
    </row>
    <row r="253" spans="4:20" x14ac:dyDescent="0.3">
      <c r="D253" s="2"/>
      <c r="E253" s="2"/>
      <c r="Q253" s="2"/>
      <c r="S253" s="2"/>
      <c r="T253" s="2"/>
    </row>
    <row r="254" spans="4:20" x14ac:dyDescent="0.3">
      <c r="D254" s="2"/>
      <c r="E254" s="2"/>
      <c r="Q254" s="2"/>
      <c r="S254" s="2"/>
      <c r="T254" s="2"/>
    </row>
    <row r="255" spans="4:20" x14ac:dyDescent="0.3">
      <c r="D255" s="2"/>
      <c r="E255" s="2"/>
      <c r="Q255" s="2"/>
      <c r="S255" s="2"/>
      <c r="T255" s="2"/>
    </row>
    <row r="256" spans="4:20" x14ac:dyDescent="0.3">
      <c r="D256" s="2"/>
      <c r="E256" s="2"/>
      <c r="Q256" s="2"/>
      <c r="S256" s="2"/>
      <c r="T256" s="2"/>
    </row>
    <row r="257" spans="4:20" x14ac:dyDescent="0.3">
      <c r="D257" s="2"/>
      <c r="E257" s="2"/>
      <c r="Q257" s="2"/>
      <c r="S257" s="2"/>
      <c r="T257" s="2"/>
    </row>
    <row r="258" spans="4:20" x14ac:dyDescent="0.3">
      <c r="D258" s="2"/>
      <c r="E258" s="2"/>
      <c r="Q258" s="2"/>
      <c r="S258" s="2"/>
      <c r="T258" s="2"/>
    </row>
    <row r="259" spans="4:20" x14ac:dyDescent="0.3">
      <c r="D259" s="2"/>
      <c r="E259" s="2"/>
      <c r="Q259" s="2"/>
      <c r="S259" s="2"/>
      <c r="T259" s="2"/>
    </row>
    <row r="260" spans="4:20" x14ac:dyDescent="0.3">
      <c r="D260" s="2"/>
      <c r="E260" s="2"/>
      <c r="Q260" s="2"/>
      <c r="S260" s="2"/>
      <c r="T260" s="2"/>
    </row>
    <row r="261" spans="4:20" x14ac:dyDescent="0.3">
      <c r="D261" s="2"/>
      <c r="E261" s="2"/>
      <c r="Q261" s="2"/>
      <c r="S261" s="2"/>
      <c r="T261" s="2"/>
    </row>
    <row r="262" spans="4:20" x14ac:dyDescent="0.3">
      <c r="D262" s="2"/>
      <c r="E262" s="2"/>
      <c r="Q262" s="2"/>
      <c r="S262" s="2"/>
      <c r="T262" s="2"/>
    </row>
    <row r="263" spans="4:20" x14ac:dyDescent="0.3">
      <c r="D263" s="2"/>
      <c r="E263" s="2"/>
      <c r="Q263" s="2"/>
      <c r="S263" s="2"/>
      <c r="T263" s="2"/>
    </row>
    <row r="264" spans="4:20" x14ac:dyDescent="0.3">
      <c r="D264" s="2"/>
      <c r="E264" s="2"/>
      <c r="Q264" s="2"/>
      <c r="S264" s="2"/>
      <c r="T264" s="2"/>
    </row>
    <row r="265" spans="4:20" x14ac:dyDescent="0.3">
      <c r="D265" s="2"/>
      <c r="E265" s="2"/>
      <c r="Q265" s="2"/>
      <c r="S265" s="2"/>
      <c r="T265" s="2"/>
    </row>
    <row r="266" spans="4:20" x14ac:dyDescent="0.3">
      <c r="D266" s="2"/>
      <c r="E266" s="2"/>
      <c r="Q266" s="2"/>
      <c r="S266" s="2"/>
      <c r="T266" s="2"/>
    </row>
    <row r="267" spans="4:20" x14ac:dyDescent="0.3">
      <c r="D267" s="2"/>
      <c r="E267" s="2"/>
      <c r="Q267" s="2"/>
      <c r="S267" s="2"/>
      <c r="T267" s="2"/>
    </row>
    <row r="268" spans="4:20" x14ac:dyDescent="0.3">
      <c r="D268" s="2"/>
      <c r="E268" s="2"/>
      <c r="Q268" s="2"/>
      <c r="S268" s="2"/>
      <c r="T268" s="2"/>
    </row>
    <row r="269" spans="4:20" x14ac:dyDescent="0.3">
      <c r="D269" s="2"/>
      <c r="E269" s="2"/>
      <c r="Q269" s="2"/>
      <c r="S269" s="2"/>
      <c r="T269" s="2"/>
    </row>
    <row r="270" spans="4:20" x14ac:dyDescent="0.3">
      <c r="D270" s="2"/>
      <c r="E270" s="2"/>
      <c r="Q270" s="2"/>
      <c r="S270" s="2"/>
      <c r="T270" s="2"/>
    </row>
    <row r="271" spans="4:20" x14ac:dyDescent="0.3">
      <c r="D271" s="2"/>
      <c r="E271" s="2"/>
      <c r="Q271" s="2"/>
      <c r="S271" s="2"/>
      <c r="T271" s="2"/>
    </row>
    <row r="272" spans="4:20" x14ac:dyDescent="0.3">
      <c r="D272" s="2"/>
      <c r="E272" s="2"/>
      <c r="Q272" s="2"/>
      <c r="S272" s="2"/>
      <c r="T272" s="2"/>
    </row>
    <row r="273" spans="4:20" x14ac:dyDescent="0.3">
      <c r="D273" s="2"/>
      <c r="E273" s="2"/>
      <c r="Q273" s="2"/>
      <c r="S273" s="2"/>
      <c r="T273" s="2"/>
    </row>
    <row r="274" spans="4:20" x14ac:dyDescent="0.3">
      <c r="D274" s="2"/>
      <c r="E274" s="2"/>
      <c r="Q274" s="2"/>
      <c r="S274" s="2"/>
      <c r="T274" s="2"/>
    </row>
    <row r="275" spans="4:20" x14ac:dyDescent="0.3">
      <c r="D275" s="2"/>
      <c r="E275" s="2"/>
      <c r="Q275" s="2"/>
      <c r="S275" s="2"/>
      <c r="T275" s="2"/>
    </row>
    <row r="276" spans="4:20" x14ac:dyDescent="0.3">
      <c r="D276" s="2"/>
      <c r="E276" s="2"/>
      <c r="Q276" s="2"/>
      <c r="S276" s="2"/>
      <c r="T276" s="2"/>
    </row>
    <row r="277" spans="4:20" x14ac:dyDescent="0.3">
      <c r="D277" s="2"/>
      <c r="E277" s="2"/>
      <c r="Q277" s="2"/>
      <c r="S277" s="2"/>
      <c r="T277" s="2"/>
    </row>
    <row r="278" spans="4:20" x14ac:dyDescent="0.3">
      <c r="D278" s="2"/>
      <c r="E278" s="2"/>
      <c r="Q278" s="2"/>
      <c r="S278" s="2"/>
      <c r="T278" s="2"/>
    </row>
    <row r="279" spans="4:20" x14ac:dyDescent="0.3">
      <c r="D279" s="2"/>
      <c r="E279" s="2"/>
      <c r="Q279" s="2"/>
      <c r="S279" s="2"/>
      <c r="T279" s="2"/>
    </row>
    <row r="280" spans="4:20" x14ac:dyDescent="0.3">
      <c r="D280" s="2"/>
      <c r="E280" s="2"/>
      <c r="Q280" s="2"/>
      <c r="S280" s="2"/>
      <c r="T280" s="2"/>
    </row>
    <row r="281" spans="4:20" x14ac:dyDescent="0.3">
      <c r="D281" s="2"/>
      <c r="E281" s="2"/>
      <c r="Q281" s="2"/>
      <c r="S281" s="2"/>
      <c r="T281" s="2"/>
    </row>
    <row r="282" spans="4:20" x14ac:dyDescent="0.3">
      <c r="D282" s="2"/>
      <c r="E282" s="2"/>
      <c r="Q282" s="2"/>
      <c r="S282" s="2"/>
      <c r="T282" s="2"/>
    </row>
    <row r="283" spans="4:20" x14ac:dyDescent="0.3">
      <c r="D283" s="2"/>
      <c r="E283" s="2"/>
      <c r="Q283" s="2"/>
      <c r="S283" s="2"/>
      <c r="T283" s="2"/>
    </row>
    <row r="284" spans="4:20" x14ac:dyDescent="0.3">
      <c r="D284" s="2"/>
      <c r="E284" s="2"/>
      <c r="Q284" s="2"/>
      <c r="S284" s="2"/>
      <c r="T284" s="2"/>
    </row>
    <row r="285" spans="4:20" x14ac:dyDescent="0.3">
      <c r="D285" s="2"/>
      <c r="E285" s="2"/>
      <c r="Q285" s="2"/>
      <c r="S285" s="2"/>
      <c r="T285" s="2"/>
    </row>
    <row r="286" spans="4:20" x14ac:dyDescent="0.3">
      <c r="D286" s="2"/>
      <c r="E286" s="2"/>
      <c r="Q286" s="2"/>
      <c r="S286" s="2"/>
      <c r="T286" s="2"/>
    </row>
    <row r="287" spans="4:20" x14ac:dyDescent="0.3">
      <c r="D287" s="2"/>
      <c r="E287" s="2"/>
      <c r="Q287" s="2"/>
      <c r="S287" s="2"/>
      <c r="T287" s="2"/>
    </row>
    <row r="288" spans="4:20" x14ac:dyDescent="0.3">
      <c r="D288" s="2"/>
      <c r="E288" s="2"/>
      <c r="Q288" s="2"/>
      <c r="S288" s="2"/>
      <c r="T288" s="2"/>
    </row>
    <row r="289" spans="4:20" x14ac:dyDescent="0.3">
      <c r="D289" s="2"/>
      <c r="E289" s="2"/>
      <c r="Q289" s="2"/>
      <c r="S289" s="2"/>
      <c r="T289" s="2"/>
    </row>
    <row r="290" spans="4:20" x14ac:dyDescent="0.3">
      <c r="D290" s="2"/>
      <c r="E290" s="2"/>
      <c r="Q290" s="2"/>
      <c r="S290" s="2"/>
      <c r="T290" s="2"/>
    </row>
    <row r="291" spans="4:20" x14ac:dyDescent="0.3">
      <c r="D291" s="2"/>
      <c r="E291" s="2"/>
      <c r="Q291" s="2"/>
      <c r="S291" s="2"/>
      <c r="T291" s="2"/>
    </row>
    <row r="292" spans="4:20" x14ac:dyDescent="0.3">
      <c r="D292" s="2"/>
      <c r="E292" s="2"/>
      <c r="Q292" s="2"/>
      <c r="S292" s="2"/>
      <c r="T292" s="2"/>
    </row>
    <row r="293" spans="4:20" x14ac:dyDescent="0.3">
      <c r="D293" s="2"/>
      <c r="E293" s="2"/>
      <c r="Q293" s="2"/>
      <c r="S293" s="2"/>
      <c r="T293" s="2"/>
    </row>
    <row r="294" spans="4:20" x14ac:dyDescent="0.3">
      <c r="D294" s="2"/>
      <c r="E294" s="2"/>
      <c r="Q294" s="2"/>
      <c r="S294" s="2"/>
      <c r="T294" s="2"/>
    </row>
    <row r="295" spans="4:20" x14ac:dyDescent="0.3">
      <c r="D295" s="2"/>
      <c r="E295" s="2"/>
      <c r="Q295" s="2"/>
      <c r="S295" s="2"/>
      <c r="T295" s="2"/>
    </row>
    <row r="296" spans="4:20" x14ac:dyDescent="0.3">
      <c r="D296" s="2"/>
      <c r="E296" s="2"/>
      <c r="Q296" s="2"/>
      <c r="S296" s="2"/>
      <c r="T296" s="2"/>
    </row>
    <row r="297" spans="4:20" x14ac:dyDescent="0.3">
      <c r="D297" s="2"/>
      <c r="E297" s="2"/>
      <c r="Q297" s="2"/>
      <c r="S297" s="2"/>
      <c r="T297" s="2"/>
    </row>
    <row r="298" spans="4:20" x14ac:dyDescent="0.3">
      <c r="D298" s="2"/>
      <c r="E298" s="2"/>
      <c r="Q298" s="2"/>
      <c r="S298" s="2"/>
      <c r="T298" s="2"/>
    </row>
    <row r="299" spans="4:20" x14ac:dyDescent="0.3">
      <c r="D299" s="2"/>
      <c r="E299" s="2"/>
      <c r="Q299" s="2"/>
      <c r="S299" s="2"/>
      <c r="T299" s="2"/>
    </row>
    <row r="300" spans="4:20" x14ac:dyDescent="0.3">
      <c r="D300" s="2"/>
      <c r="E300" s="2"/>
      <c r="Q300" s="2"/>
      <c r="S300" s="2"/>
      <c r="T300" s="2"/>
    </row>
    <row r="301" spans="4:20" x14ac:dyDescent="0.3">
      <c r="D301" s="2"/>
      <c r="E301" s="2"/>
      <c r="Q301" s="2"/>
      <c r="S301" s="2"/>
      <c r="T301" s="2"/>
    </row>
    <row r="302" spans="4:20" x14ac:dyDescent="0.3">
      <c r="D302" s="2"/>
      <c r="E302" s="2"/>
      <c r="Q302" s="2"/>
      <c r="S302" s="2"/>
      <c r="T302" s="2"/>
    </row>
    <row r="303" spans="4:20" x14ac:dyDescent="0.3">
      <c r="D303" s="2"/>
      <c r="E303" s="2"/>
      <c r="Q303" s="2"/>
      <c r="S303" s="2"/>
      <c r="T303" s="2"/>
    </row>
    <row r="304" spans="4:20" x14ac:dyDescent="0.3">
      <c r="D304" s="2"/>
      <c r="E304" s="2"/>
      <c r="Q304" s="2"/>
      <c r="S304" s="2"/>
      <c r="T304" s="2"/>
    </row>
    <row r="305" spans="4:20" x14ac:dyDescent="0.3">
      <c r="D305" s="2"/>
      <c r="E305" s="2"/>
      <c r="Q305" s="2"/>
      <c r="S305" s="2"/>
      <c r="T305" s="2"/>
    </row>
    <row r="306" spans="4:20" x14ac:dyDescent="0.3">
      <c r="D306" s="2"/>
      <c r="E306" s="2"/>
      <c r="Q306" s="2"/>
      <c r="S306" s="2"/>
      <c r="T306" s="2"/>
    </row>
    <row r="307" spans="4:20" x14ac:dyDescent="0.3">
      <c r="D307" s="2"/>
      <c r="E307" s="2"/>
      <c r="Q307" s="2"/>
      <c r="S307" s="2"/>
      <c r="T307" s="2"/>
    </row>
    <row r="308" spans="4:20" x14ac:dyDescent="0.3">
      <c r="D308" s="2"/>
      <c r="E308" s="2"/>
      <c r="Q308" s="2"/>
      <c r="S308" s="2"/>
      <c r="T308" s="2"/>
    </row>
    <row r="309" spans="4:20" x14ac:dyDescent="0.3">
      <c r="D309" s="2"/>
      <c r="E309" s="2"/>
      <c r="Q309" s="2"/>
      <c r="S309" s="2"/>
      <c r="T309" s="2"/>
    </row>
    <row r="310" spans="4:20" x14ac:dyDescent="0.3">
      <c r="D310" s="2"/>
      <c r="E310" s="2"/>
      <c r="Q310" s="2"/>
      <c r="S310" s="2"/>
      <c r="T310" s="2"/>
    </row>
    <row r="311" spans="4:20" x14ac:dyDescent="0.3">
      <c r="D311" s="2"/>
      <c r="E311" s="2"/>
      <c r="Q311" s="2"/>
      <c r="S311" s="2"/>
      <c r="T311" s="2"/>
    </row>
    <row r="312" spans="4:20" x14ac:dyDescent="0.3">
      <c r="D312" s="2"/>
      <c r="E312" s="2"/>
      <c r="Q312" s="2"/>
      <c r="S312" s="2"/>
      <c r="T312" s="2"/>
    </row>
    <row r="313" spans="4:20" x14ac:dyDescent="0.3">
      <c r="D313" s="2"/>
      <c r="E313" s="2"/>
      <c r="Q313" s="2"/>
      <c r="S313" s="2"/>
      <c r="T313" s="2"/>
    </row>
    <row r="314" spans="4:20" x14ac:dyDescent="0.3">
      <c r="D314" s="2"/>
      <c r="E314" s="2"/>
      <c r="Q314" s="2"/>
      <c r="S314" s="2"/>
      <c r="T314" s="2"/>
    </row>
    <row r="315" spans="4:20" x14ac:dyDescent="0.3">
      <c r="D315" s="2"/>
      <c r="E315" s="2"/>
      <c r="Q315" s="2"/>
      <c r="S315" s="2"/>
      <c r="T315" s="2"/>
    </row>
    <row r="316" spans="4:20" x14ac:dyDescent="0.3">
      <c r="D316" s="2"/>
      <c r="E316" s="2"/>
      <c r="Q316" s="2"/>
      <c r="S316" s="2"/>
      <c r="T316" s="2"/>
    </row>
    <row r="317" spans="4:20" x14ac:dyDescent="0.3">
      <c r="D317" s="2"/>
      <c r="E317" s="2"/>
      <c r="Q317" s="2"/>
      <c r="S317" s="2"/>
      <c r="T317" s="2"/>
    </row>
    <row r="318" spans="4:20" x14ac:dyDescent="0.3">
      <c r="D318" s="2"/>
      <c r="E318" s="2"/>
      <c r="Q318" s="2"/>
      <c r="S318" s="2"/>
      <c r="T318" s="2"/>
    </row>
    <row r="319" spans="4:20" x14ac:dyDescent="0.3">
      <c r="D319" s="2"/>
      <c r="E319" s="2"/>
      <c r="Q319" s="2"/>
      <c r="S319" s="2"/>
      <c r="T319" s="2"/>
    </row>
    <row r="320" spans="4:20" x14ac:dyDescent="0.3">
      <c r="D320" s="2"/>
      <c r="E320" s="2"/>
      <c r="Q320" s="2"/>
      <c r="S320" s="2"/>
      <c r="T320" s="2"/>
    </row>
    <row r="321" spans="4:20" x14ac:dyDescent="0.3">
      <c r="D321" s="2"/>
      <c r="E321" s="2"/>
      <c r="Q321" s="2"/>
      <c r="S321" s="2"/>
      <c r="T321" s="2"/>
    </row>
    <row r="322" spans="4:20" x14ac:dyDescent="0.3">
      <c r="D322" s="2"/>
      <c r="E322" s="2"/>
      <c r="Q322" s="2"/>
      <c r="S322" s="2"/>
      <c r="T322" s="2"/>
    </row>
    <row r="323" spans="4:20" x14ac:dyDescent="0.3">
      <c r="D323" s="2"/>
      <c r="E323" s="2"/>
      <c r="Q323" s="2"/>
      <c r="S323" s="2"/>
      <c r="T323" s="2"/>
    </row>
    <row r="324" spans="4:20" x14ac:dyDescent="0.3">
      <c r="D324" s="2"/>
      <c r="E324" s="2"/>
      <c r="Q324" s="2"/>
      <c r="S324" s="2"/>
      <c r="T324" s="2"/>
    </row>
    <row r="325" spans="4:20" x14ac:dyDescent="0.3">
      <c r="D325" s="2"/>
      <c r="E325" s="2"/>
      <c r="Q325" s="2"/>
      <c r="S325" s="2"/>
      <c r="T325" s="2"/>
    </row>
    <row r="326" spans="4:20" x14ac:dyDescent="0.3">
      <c r="D326" s="2"/>
      <c r="E326" s="2"/>
      <c r="Q326" s="2"/>
      <c r="S326" s="2"/>
      <c r="T326" s="2"/>
    </row>
    <row r="327" spans="4:20" x14ac:dyDescent="0.3">
      <c r="D327" s="2"/>
      <c r="E327" s="2"/>
      <c r="Q327" s="2"/>
      <c r="S327" s="2"/>
      <c r="T327" s="2"/>
    </row>
    <row r="328" spans="4:20" x14ac:dyDescent="0.3">
      <c r="D328" s="2"/>
      <c r="E328" s="2"/>
      <c r="Q328" s="2"/>
      <c r="S328" s="2"/>
      <c r="T328" s="2"/>
    </row>
    <row r="329" spans="4:20" x14ac:dyDescent="0.3">
      <c r="D329" s="2"/>
      <c r="E329" s="2"/>
      <c r="Q329" s="2"/>
      <c r="S329" s="2"/>
      <c r="T329" s="2"/>
    </row>
    <row r="330" spans="4:20" x14ac:dyDescent="0.3">
      <c r="D330" s="2"/>
      <c r="E330" s="2"/>
      <c r="Q330" s="2"/>
      <c r="S330" s="2"/>
      <c r="T330" s="2"/>
    </row>
    <row r="331" spans="4:20" x14ac:dyDescent="0.3">
      <c r="D331" s="2"/>
      <c r="E331" s="2"/>
      <c r="Q331" s="2"/>
      <c r="S331" s="2"/>
      <c r="T331" s="2"/>
    </row>
    <row r="332" spans="4:20" x14ac:dyDescent="0.3">
      <c r="D332" s="2"/>
      <c r="E332" s="2"/>
      <c r="Q332" s="2"/>
      <c r="S332" s="2"/>
      <c r="T332" s="2"/>
    </row>
    <row r="333" spans="4:20" x14ac:dyDescent="0.3">
      <c r="D333" s="2"/>
      <c r="E333" s="2"/>
      <c r="Q333" s="2"/>
      <c r="S333" s="2"/>
      <c r="T333" s="2"/>
    </row>
    <row r="334" spans="4:20" x14ac:dyDescent="0.3">
      <c r="D334" s="2"/>
      <c r="E334" s="2"/>
      <c r="Q334" s="2"/>
      <c r="S334" s="2"/>
      <c r="T334" s="2"/>
    </row>
    <row r="335" spans="4:20" x14ac:dyDescent="0.3">
      <c r="D335" s="2"/>
      <c r="E335" s="2"/>
      <c r="Q335" s="2"/>
      <c r="S335" s="2"/>
      <c r="T335" s="2"/>
    </row>
    <row r="336" spans="4:20" x14ac:dyDescent="0.3">
      <c r="D336" s="2"/>
      <c r="E336" s="2"/>
      <c r="Q336" s="2"/>
      <c r="S336" s="2"/>
      <c r="T336" s="2"/>
    </row>
    <row r="337" spans="4:20" x14ac:dyDescent="0.3">
      <c r="D337" s="2"/>
      <c r="E337" s="2"/>
      <c r="Q337" s="2"/>
      <c r="S337" s="2"/>
      <c r="T337" s="2"/>
    </row>
    <row r="338" spans="4:20" x14ac:dyDescent="0.3">
      <c r="D338" s="2"/>
      <c r="E338" s="2"/>
      <c r="Q338" s="2"/>
      <c r="S338" s="2"/>
      <c r="T338" s="2"/>
    </row>
    <row r="339" spans="4:20" x14ac:dyDescent="0.3">
      <c r="D339" s="2"/>
      <c r="E339" s="2"/>
      <c r="Q339" s="2"/>
      <c r="S339" s="2"/>
      <c r="T339" s="2"/>
    </row>
    <row r="340" spans="4:20" x14ac:dyDescent="0.3">
      <c r="D340" s="2"/>
      <c r="E340" s="2"/>
      <c r="Q340" s="2"/>
      <c r="S340" s="2"/>
      <c r="T340" s="2"/>
    </row>
    <row r="341" spans="4:20" x14ac:dyDescent="0.3">
      <c r="D341" s="2"/>
      <c r="E341" s="2"/>
      <c r="Q341" s="2"/>
      <c r="S341" s="2"/>
      <c r="T341" s="2"/>
    </row>
    <row r="342" spans="4:20" x14ac:dyDescent="0.3">
      <c r="D342" s="2"/>
      <c r="E342" s="2"/>
      <c r="Q342" s="2"/>
      <c r="S342" s="2"/>
      <c r="T342" s="2"/>
    </row>
    <row r="343" spans="4:20" x14ac:dyDescent="0.3">
      <c r="D343" s="2"/>
      <c r="E343" s="2"/>
      <c r="Q343" s="2"/>
      <c r="S343" s="2"/>
      <c r="T343" s="2"/>
    </row>
    <row r="344" spans="4:20" x14ac:dyDescent="0.3">
      <c r="D344" s="2"/>
      <c r="E344" s="2"/>
      <c r="Q344" s="2"/>
      <c r="S344" s="2"/>
      <c r="T344" s="2"/>
    </row>
    <row r="345" spans="4:20" x14ac:dyDescent="0.3">
      <c r="D345" s="2"/>
      <c r="E345" s="2"/>
      <c r="Q345" s="2"/>
      <c r="S345" s="2"/>
      <c r="T345" s="2"/>
    </row>
    <row r="346" spans="4:20" x14ac:dyDescent="0.3">
      <c r="D346" s="2"/>
      <c r="E346" s="2"/>
      <c r="Q346" s="2"/>
      <c r="S346" s="2"/>
      <c r="T346" s="2"/>
    </row>
    <row r="347" spans="4:20" x14ac:dyDescent="0.3">
      <c r="D347" s="2"/>
      <c r="E347" s="2"/>
      <c r="Q347" s="2"/>
      <c r="S347" s="2"/>
      <c r="T347" s="2"/>
    </row>
    <row r="348" spans="4:20" x14ac:dyDescent="0.3">
      <c r="D348" s="2"/>
      <c r="E348" s="2"/>
      <c r="Q348" s="2"/>
      <c r="S348" s="2"/>
      <c r="T348" s="2"/>
    </row>
    <row r="349" spans="4:20" x14ac:dyDescent="0.3">
      <c r="D349" s="2"/>
      <c r="E349" s="2"/>
      <c r="Q349" s="2"/>
      <c r="S349" s="2"/>
      <c r="T349" s="2"/>
    </row>
    <row r="350" spans="4:20" x14ac:dyDescent="0.3">
      <c r="D350" s="2"/>
      <c r="E350" s="2"/>
      <c r="Q350" s="2"/>
      <c r="S350" s="2"/>
      <c r="T350" s="2"/>
    </row>
    <row r="351" spans="4:20" x14ac:dyDescent="0.3">
      <c r="D351" s="2"/>
      <c r="E351" s="2"/>
      <c r="Q351" s="2"/>
      <c r="S351" s="2"/>
      <c r="T351" s="2"/>
    </row>
    <row r="352" spans="4:20" x14ac:dyDescent="0.3">
      <c r="D352" s="2"/>
      <c r="E352" s="2"/>
      <c r="Q352" s="2"/>
      <c r="S352" s="2"/>
      <c r="T352" s="2"/>
    </row>
    <row r="353" spans="4:20" x14ac:dyDescent="0.3">
      <c r="D353" s="2"/>
      <c r="E353" s="2"/>
      <c r="Q353" s="2"/>
      <c r="S353" s="2"/>
      <c r="T353" s="2"/>
    </row>
    <row r="354" spans="4:20" x14ac:dyDescent="0.3">
      <c r="D354" s="2"/>
      <c r="E354" s="2"/>
      <c r="Q354" s="2"/>
      <c r="S354" s="2"/>
      <c r="T354" s="2"/>
    </row>
    <row r="355" spans="4:20" x14ac:dyDescent="0.3">
      <c r="D355" s="2"/>
      <c r="E355" s="2"/>
      <c r="Q355" s="2"/>
      <c r="S355" s="2"/>
      <c r="T355" s="2"/>
    </row>
    <row r="356" spans="4:20" x14ac:dyDescent="0.3">
      <c r="D356" s="2"/>
      <c r="E356" s="2"/>
      <c r="Q356" s="2"/>
      <c r="S356" s="2"/>
      <c r="T356" s="2"/>
    </row>
    <row r="357" spans="4:20" x14ac:dyDescent="0.3">
      <c r="D357" s="2"/>
      <c r="E357" s="2"/>
      <c r="Q357" s="2"/>
      <c r="S357" s="2"/>
      <c r="T357" s="2"/>
    </row>
    <row r="358" spans="4:20" x14ac:dyDescent="0.3">
      <c r="D358" s="2"/>
      <c r="E358" s="2"/>
      <c r="Q358" s="2"/>
      <c r="S358" s="2"/>
      <c r="T358" s="2"/>
    </row>
    <row r="359" spans="4:20" x14ac:dyDescent="0.3">
      <c r="D359" s="2"/>
      <c r="E359" s="2"/>
      <c r="Q359" s="2"/>
      <c r="S359" s="2"/>
      <c r="T359" s="2"/>
    </row>
    <row r="360" spans="4:20" x14ac:dyDescent="0.3">
      <c r="D360" s="2"/>
      <c r="E360" s="2"/>
      <c r="Q360" s="2"/>
      <c r="S360" s="2"/>
      <c r="T360" s="2"/>
    </row>
    <row r="361" spans="4:20" x14ac:dyDescent="0.3">
      <c r="D361" s="2"/>
      <c r="E361" s="2"/>
      <c r="Q361" s="2"/>
      <c r="S361" s="2"/>
      <c r="T361" s="2"/>
    </row>
    <row r="362" spans="4:20" x14ac:dyDescent="0.3">
      <c r="D362" s="2"/>
      <c r="E362" s="2"/>
      <c r="Q362" s="2"/>
      <c r="S362" s="2"/>
      <c r="T362" s="2"/>
    </row>
    <row r="363" spans="4:20" x14ac:dyDescent="0.3">
      <c r="D363" s="2"/>
      <c r="E363" s="2"/>
      <c r="Q363" s="2"/>
      <c r="S363" s="2"/>
      <c r="T363" s="2"/>
    </row>
    <row r="364" spans="4:20" x14ac:dyDescent="0.3">
      <c r="D364" s="2"/>
      <c r="E364" s="2"/>
      <c r="Q364" s="2"/>
      <c r="S364" s="2"/>
      <c r="T364" s="2"/>
    </row>
    <row r="365" spans="4:20" x14ac:dyDescent="0.3">
      <c r="D365" s="2"/>
      <c r="E365" s="2"/>
      <c r="Q365" s="2"/>
      <c r="S365" s="2"/>
      <c r="T365" s="2"/>
    </row>
    <row r="366" spans="4:20" x14ac:dyDescent="0.3">
      <c r="D366" s="2"/>
      <c r="E366" s="2"/>
      <c r="Q366" s="2"/>
      <c r="S366" s="2"/>
      <c r="T366" s="2"/>
    </row>
    <row r="367" spans="4:20" x14ac:dyDescent="0.3">
      <c r="D367" s="2"/>
      <c r="Q367" s="2"/>
      <c r="S367" s="2"/>
      <c r="T367" s="2"/>
    </row>
    <row r="368" spans="4:20" x14ac:dyDescent="0.3">
      <c r="D368" s="2"/>
      <c r="Q368" s="2"/>
      <c r="S368" s="2"/>
      <c r="T368" s="2"/>
    </row>
    <row r="369" spans="4:20" x14ac:dyDescent="0.3">
      <c r="D369" s="2"/>
      <c r="Q369" s="2"/>
      <c r="S369" s="2"/>
      <c r="T369" s="2"/>
    </row>
    <row r="370" spans="4:20" x14ac:dyDescent="0.3">
      <c r="D370" s="2"/>
      <c r="Q370" s="2"/>
      <c r="S370" s="2"/>
      <c r="T370" s="2"/>
    </row>
    <row r="371" spans="4:20" x14ac:dyDescent="0.3">
      <c r="D371" s="2"/>
      <c r="Q371" s="2"/>
      <c r="S371" s="2"/>
      <c r="T371" s="2"/>
    </row>
    <row r="372" spans="4:20" x14ac:dyDescent="0.3">
      <c r="D372" s="2"/>
      <c r="Q372" s="2"/>
      <c r="S372" s="2"/>
      <c r="T372" s="2"/>
    </row>
    <row r="373" spans="4:20" x14ac:dyDescent="0.3">
      <c r="D373" s="2"/>
      <c r="Q373" s="2"/>
      <c r="S373" s="2"/>
      <c r="T373" s="2"/>
    </row>
    <row r="374" spans="4:20" x14ac:dyDescent="0.3">
      <c r="D374" s="2"/>
      <c r="Q374" s="2"/>
      <c r="S374" s="2"/>
      <c r="T374" s="2"/>
    </row>
    <row r="375" spans="4:20" x14ac:dyDescent="0.3">
      <c r="D375" s="2"/>
      <c r="Q375" s="2"/>
      <c r="S375" s="2"/>
      <c r="T375" s="2"/>
    </row>
    <row r="376" spans="4:20" x14ac:dyDescent="0.3">
      <c r="D376" s="2"/>
      <c r="Q376" s="2"/>
      <c r="S376" s="2"/>
      <c r="T376" s="2"/>
    </row>
    <row r="377" spans="4:20" x14ac:dyDescent="0.3">
      <c r="D377" s="2"/>
      <c r="Q377" s="2"/>
      <c r="S377" s="2"/>
      <c r="T377" s="2"/>
    </row>
    <row r="378" spans="4:20" x14ac:dyDescent="0.3">
      <c r="D378" s="2"/>
      <c r="Q378" s="2"/>
      <c r="S378" s="2"/>
      <c r="T378" s="2"/>
    </row>
    <row r="379" spans="4:20" x14ac:dyDescent="0.3">
      <c r="D379" s="2"/>
      <c r="Q379" s="2"/>
      <c r="S379" s="2"/>
      <c r="T379" s="2"/>
    </row>
    <row r="380" spans="4:20" x14ac:dyDescent="0.3">
      <c r="D380" s="2"/>
      <c r="Q380" s="2"/>
      <c r="S380" s="2"/>
      <c r="T380" s="2"/>
    </row>
    <row r="381" spans="4:20" x14ac:dyDescent="0.3">
      <c r="D381" s="2"/>
      <c r="Q381" s="2"/>
      <c r="S381" s="2"/>
      <c r="T381" s="2"/>
    </row>
    <row r="382" spans="4:20" x14ac:dyDescent="0.3">
      <c r="D382" s="2"/>
      <c r="Q382" s="2"/>
      <c r="S382" s="2"/>
      <c r="T382" s="2"/>
    </row>
    <row r="383" spans="4:20" x14ac:dyDescent="0.3">
      <c r="D383" s="2"/>
      <c r="Q383" s="2"/>
      <c r="S383" s="2"/>
      <c r="T383" s="2"/>
    </row>
    <row r="384" spans="4:20" x14ac:dyDescent="0.3">
      <c r="D384" s="2"/>
      <c r="Q384" s="2"/>
      <c r="S384" s="2"/>
      <c r="T384" s="2"/>
    </row>
    <row r="385" spans="4:20" x14ac:dyDescent="0.3">
      <c r="D385" s="2"/>
      <c r="Q385" s="2"/>
      <c r="S385" s="2"/>
      <c r="T385" s="2"/>
    </row>
    <row r="386" spans="4:20" x14ac:dyDescent="0.3">
      <c r="D386" s="2"/>
      <c r="Q386" s="2"/>
      <c r="S386" s="2"/>
      <c r="T386" s="2"/>
    </row>
    <row r="387" spans="4:20" x14ac:dyDescent="0.3">
      <c r="D387" s="2"/>
      <c r="Q387" s="2"/>
      <c r="S387" s="2"/>
      <c r="T387" s="2"/>
    </row>
    <row r="388" spans="4:20" x14ac:dyDescent="0.3">
      <c r="D388" s="2"/>
      <c r="Q388" s="2"/>
      <c r="S388" s="2"/>
      <c r="T388" s="2"/>
    </row>
    <row r="389" spans="4:20" x14ac:dyDescent="0.3">
      <c r="D389" s="2"/>
      <c r="Q389" s="2"/>
      <c r="S389" s="2"/>
      <c r="T389" s="2"/>
    </row>
    <row r="390" spans="4:20" x14ac:dyDescent="0.3">
      <c r="D390" s="2"/>
      <c r="Q390" s="2"/>
      <c r="S390" s="2"/>
      <c r="T390" s="2"/>
    </row>
    <row r="391" spans="4:20" x14ac:dyDescent="0.3">
      <c r="D391" s="2"/>
      <c r="Q391" s="2"/>
      <c r="S391" s="2"/>
      <c r="T391" s="2"/>
    </row>
    <row r="392" spans="4:20" x14ac:dyDescent="0.3">
      <c r="D392" s="2"/>
      <c r="Q392" s="2"/>
      <c r="S392" s="2"/>
      <c r="T392" s="2"/>
    </row>
    <row r="393" spans="4:20" x14ac:dyDescent="0.3">
      <c r="D393" s="2"/>
      <c r="Q393" s="2"/>
      <c r="S393" s="2"/>
      <c r="T393" s="2"/>
    </row>
    <row r="394" spans="4:20" x14ac:dyDescent="0.3">
      <c r="D394" s="2"/>
      <c r="Q394" s="2"/>
      <c r="S394" s="2"/>
      <c r="T394" s="2"/>
    </row>
    <row r="395" spans="4:20" x14ac:dyDescent="0.3">
      <c r="D395" s="2"/>
      <c r="Q395" s="2"/>
      <c r="S395" s="2"/>
      <c r="T395" s="2"/>
    </row>
    <row r="396" spans="4:20" x14ac:dyDescent="0.3">
      <c r="D396" s="2"/>
      <c r="Q396" s="2"/>
      <c r="S396" s="2"/>
      <c r="T396" s="2"/>
    </row>
    <row r="397" spans="4:20" x14ac:dyDescent="0.3">
      <c r="D397" s="2"/>
      <c r="Q397" s="2"/>
      <c r="S397" s="2"/>
      <c r="T397" s="2"/>
    </row>
    <row r="398" spans="4:20" x14ac:dyDescent="0.3">
      <c r="D398" s="2"/>
      <c r="Q398" s="2"/>
      <c r="S398" s="2"/>
      <c r="T398" s="2"/>
    </row>
    <row r="399" spans="4:20" x14ac:dyDescent="0.3">
      <c r="D399" s="2"/>
      <c r="Q399" s="2"/>
      <c r="S399" s="2"/>
      <c r="T399" s="2"/>
    </row>
    <row r="400" spans="4:20" x14ac:dyDescent="0.3">
      <c r="D400" s="2"/>
      <c r="Q400" s="2"/>
      <c r="S400" s="2"/>
      <c r="T400" s="2"/>
    </row>
    <row r="401" spans="4:20" x14ac:dyDescent="0.3">
      <c r="D401" s="2"/>
      <c r="Q401" s="2"/>
      <c r="S401" s="2"/>
      <c r="T401" s="2"/>
    </row>
    <row r="402" spans="4:20" x14ac:dyDescent="0.3">
      <c r="D402" s="2"/>
      <c r="Q402" s="2"/>
      <c r="S402" s="2"/>
      <c r="T402" s="2"/>
    </row>
    <row r="403" spans="4:20" x14ac:dyDescent="0.3">
      <c r="D403" s="2"/>
      <c r="Q403" s="2"/>
      <c r="S403" s="2"/>
      <c r="T403" s="2"/>
    </row>
    <row r="404" spans="4:20" x14ac:dyDescent="0.3">
      <c r="D404" s="2"/>
      <c r="Q404" s="2"/>
      <c r="S404" s="2"/>
      <c r="T404" s="2"/>
    </row>
    <row r="405" spans="4:20" x14ac:dyDescent="0.3">
      <c r="D405" s="2"/>
      <c r="Q405" s="2"/>
      <c r="S405" s="2"/>
      <c r="T405" s="2"/>
    </row>
    <row r="406" spans="4:20" x14ac:dyDescent="0.3">
      <c r="D406" s="2"/>
      <c r="Q406" s="2"/>
      <c r="S406" s="2"/>
      <c r="T406" s="2"/>
    </row>
    <row r="407" spans="4:20" x14ac:dyDescent="0.3">
      <c r="D407" s="2"/>
      <c r="Q407" s="2"/>
      <c r="S407" s="2"/>
      <c r="T407" s="2"/>
    </row>
    <row r="408" spans="4:20" x14ac:dyDescent="0.3">
      <c r="D408" s="2"/>
      <c r="Q408" s="2"/>
      <c r="S408" s="2"/>
      <c r="T408" s="2"/>
    </row>
    <row r="409" spans="4:20" x14ac:dyDescent="0.3">
      <c r="D409" s="2"/>
      <c r="Q409" s="2"/>
      <c r="S409" s="2"/>
      <c r="T409" s="2"/>
    </row>
    <row r="410" spans="4:20" x14ac:dyDescent="0.3">
      <c r="D410" s="2"/>
      <c r="Q410" s="2"/>
      <c r="S410" s="2"/>
      <c r="T410" s="2"/>
    </row>
    <row r="411" spans="4:20" x14ac:dyDescent="0.3">
      <c r="D411" s="2"/>
      <c r="Q411" s="2"/>
      <c r="S411" s="2"/>
      <c r="T411" s="2"/>
    </row>
    <row r="412" spans="4:20" x14ac:dyDescent="0.3">
      <c r="D412" s="2"/>
      <c r="Q412" s="2"/>
      <c r="S412" s="2"/>
      <c r="T412" s="2"/>
    </row>
    <row r="413" spans="4:20" x14ac:dyDescent="0.3">
      <c r="D413" s="2"/>
      <c r="Q413" s="2"/>
      <c r="S413" s="2"/>
      <c r="T413" s="2"/>
    </row>
    <row r="414" spans="4:20" x14ac:dyDescent="0.3">
      <c r="D414" s="2"/>
      <c r="Q414" s="2"/>
      <c r="S414" s="2"/>
      <c r="T414" s="2"/>
    </row>
  </sheetData>
  <autoFilter ref="J1:J99" xr:uid="{78C680F3-2E3E-4406-A622-EC1705468353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2022-07-07T14:52:06Z</dcterms:created>
  <dcterms:modified xsi:type="dcterms:W3CDTF">2022-07-08T07:47:25Z</dcterms:modified>
</cp:coreProperties>
</file>